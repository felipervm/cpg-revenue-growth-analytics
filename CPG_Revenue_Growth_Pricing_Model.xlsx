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2eecde48db47dd" /></Relationships>
</file>

<file path=xl/workbook.xml><?xml version="1.0" encoding="utf-8"?>
<x:workbook xmlns:x="http://schemas.openxmlformats.org/spreadsheetml/2006/main">
  <x:sheets>
    <x:sheet xmlns:r="http://schemas.openxmlformats.org/officeDocument/2006/relationships" name="Executive Summary" sheetId="1" r:id="Rc3ff813cd89f45ea"/>
    <x:sheet xmlns:r="http://schemas.openxmlformats.org/officeDocument/2006/relationships" name="Inputs" sheetId="2" r:id="Read959c125204303"/>
    <x:sheet xmlns:r="http://schemas.openxmlformats.org/officeDocument/2006/relationships" name="Pricing Scenario" sheetId="3" r:id="R5e3c542046514d8e"/>
    <x:sheet xmlns:r="http://schemas.openxmlformats.org/officeDocument/2006/relationships" name="Promotion Evaluator" sheetId="4" r:id="R96891f1eecbc4c1f"/>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
    <x:numFmt numFmtId="201" formatCode="0.0%"/>
    <x:numFmt numFmtId="202" formatCode="0.00"/>
    <x:numFmt numFmtId="203" formatCode="$0.00;[Red]($0.00);-"/>
    <x:numFmt numFmtId="204" formatCode="0.0x"/>
    <x:numFmt numFmtId="205" formatCode="#,##0"/>
    <x:numFmt numFmtId="206" formatCode="$#,##0;[Red]($#,##0);-"/>
    <x:numFmt numFmtId="207" formatCode="0.00x"/>
  </x:numFmts>
  <x:fonts count="7">
    <x:font>
      <x:sz val="11"/>
      <x:name val="Carlito"/>
    </x:font>
    <x:font>
      <x:b/>
      <x:sz val="15"/>
      <x:color rgb="FFFFFFFF"/>
      <x:name val="Carlito"/>
    </x:font>
    <x:font>
      <x:b/>
      <x:sz val="11"/>
      <x:name val="Carlito"/>
    </x:font>
    <x:font>
      <x:b/>
      <x:sz val="11"/>
      <x:color rgb="FFFFFFFF"/>
      <x:name val="Carlito"/>
    </x:font>
    <x:font>
      <x:b/>
      <x:sz val="14"/>
      <x:color rgb="FFFFFFFF"/>
      <x:name val="Carlito"/>
    </x:font>
    <x:font>
      <x:sz val="11"/>
      <x:color rgb="FF0000FF"/>
      <x:name val="Carlito"/>
    </x:font>
    <x:font>
      <x:sz val="11"/>
      <x:color rgb="FF000000"/>
      <x:name val="Carlito"/>
    </x:font>
  </x:fonts>
  <x:fills count="5">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FEF3C7"/>
      </x:patternFill>
    </x:fill>
  </x:fills>
  <x:borders count="2">
    <x:border/>
    <x:border/>
  </x:borders>
  <x:cellStyleXfs count="1">
    <x:xf numFmtId="0" fontId="0" fillId="0" borderId="0"/>
  </x:cellStyleXfs>
  <x:cellXfs count="9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4" fillId="2" borderId="0" xfId="0" applyNumberFormat="1" applyFont="1" applyFill="1" applyBorder="1"/>
    <x:xf numFmtId="0" fontId="4" fillId="2"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200" fontId="5" fillId="0" borderId="0" xfId="0" applyNumberFormat="1" applyFont="1" applyFill="1" applyBorder="1"/>
    <x:xf numFmtId="200" fontId="5" fillId="0" borderId="1" xfId="0" applyNumberFormat="1" applyFont="1" applyFill="1" applyBorder="1"/>
    <x:xf numFmtId="204" fontId="5" fillId="0" borderId="0" xfId="0" applyNumberFormat="1" applyFont="1" applyFill="1" applyBorder="1"/>
    <x:xf numFmtId="204" fontId="5" fillId="0" borderId="1"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201" fontId="5" fillId="0" borderId="0" xfId="0" applyNumberFormat="1" applyFont="1" applyFill="1" applyBorder="1"/>
    <x:xf numFmtId="201" fontId="5"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0" fontId="6" fillId="0" borderId="0" xfId="0" applyNumberFormat="1" applyFont="1" applyFill="1" applyBorder="1"/>
    <x:xf numFmtId="205" fontId="6" fillId="0" borderId="0" xfId="0" applyNumberFormat="1" applyFont="1" applyFill="1" applyBorder="1"/>
    <x:xf numFmtId="206" fontId="6" fillId="0" borderId="0" xfId="0" applyNumberFormat="1" applyFont="1" applyFill="1" applyBorder="1"/>
    <x:xf numFmtId="201" fontId="6" fillId="0" borderId="0" xfId="0" applyNumberFormat="1" applyFont="1" applyFill="1" applyBorder="1"/>
    <x:xf numFmtId="200" fontId="6" fillId="0" borderId="1" xfId="0" applyNumberFormat="1" applyFont="1" applyFill="1" applyBorder="1"/>
    <x:xf numFmtId="205" fontId="6" fillId="0" borderId="1" xfId="0" applyNumberFormat="1" applyFont="1" applyFill="1" applyBorder="1"/>
    <x:xf numFmtId="206" fontId="6" fillId="0" borderId="1" xfId="0" applyNumberFormat="1" applyFont="1" applyFill="1" applyBorder="1"/>
    <x:xf numFmtId="201" fontId="6" fillId="0" borderId="1" xfId="0" applyNumberFormat="1" applyFont="1" applyFill="1" applyBorder="1"/>
    <x:xf numFmtId="207" fontId="0" fillId="0" borderId="0" xfId="0" applyNumberFormat="1" applyFont="1" applyFill="1" applyBorder="1"/>
    <x:xf numFmtId="207" fontId="0" fillId="0" borderId="1" xfId="0" applyNumberFormat="1" applyFont="1" applyFill="1" applyBorder="1"/>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3" fillId="2" borderId="0" xfId="0" applyNumberFormat="1" applyFont="1" applyFill="1" applyBorder="1" applyAlignment="1">
      <x:alignment wrapText="1"/>
    </x:xf>
    <x:xf numFmtId="203" fontId="0"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0" fontId="3" fillId="2" borderId="1" xfId="0" applyNumberFormat="1" applyFont="1" applyFill="1" applyBorder="1" applyAlignment="1">
      <x:alignment wrapText="1"/>
    </x:xf>
    <x:xf numFmtId="203" fontId="0" fillId="0" borderId="1" xfId="0" applyNumberFormat="1" applyFont="1" applyFill="1" applyBorder="1" applyAlignment="1">
      <x:alignment wrapText="1"/>
    </x:xf>
    <x:xf numFmtId="0" fontId="4" fillId="2" borderId="0" xfId="0" applyNumberFormat="1" applyFont="1" applyFill="1" applyBorder="1" applyAlignment="1">
      <x:alignment wrapText="1"/>
    </x:xf>
    <x:xf numFmtId="0" fontId="5" fillId="0" borderId="0" xfId="0" applyNumberFormat="1" applyFont="1" applyFill="1" applyBorder="1" applyAlignment="1">
      <x:alignment wrapText="1"/>
    </x:xf>
    <x:xf numFmtId="200" fontId="5" fillId="0" borderId="0" xfId="0" applyNumberFormat="1" applyFont="1" applyFill="1" applyBorder="1" applyAlignment="1">
      <x:alignment wrapText="1"/>
    </x:xf>
    <x:xf numFmtId="204" fontId="5" fillId="0" borderId="0" xfId="0" applyNumberFormat="1" applyFont="1" applyFill="1" applyBorder="1" applyAlignment="1">
      <x:alignment wrapText="1"/>
    </x:xf>
    <x:xf numFmtId="0" fontId="2" fillId="4" borderId="0" xfId="0" applyNumberFormat="1" applyFont="1" applyFill="1" applyBorder="1" applyAlignment="1">
      <x:alignment wrapText="1"/>
    </x:xf>
    <x:xf numFmtId="0" fontId="4" fillId="2" borderId="1" xfId="0" applyNumberFormat="1" applyFont="1" applyFill="1" applyBorder="1" applyAlignment="1">
      <x:alignment wrapText="1"/>
    </x:xf>
    <x:xf numFmtId="0" fontId="5" fillId="0" borderId="1" xfId="0" applyNumberFormat="1" applyFont="1" applyFill="1" applyBorder="1" applyAlignment="1">
      <x:alignment wrapText="1"/>
    </x:xf>
    <x:xf numFmtId="200" fontId="5" fillId="0" borderId="1" xfId="0" applyNumberFormat="1" applyFont="1" applyFill="1" applyBorder="1" applyAlignment="1">
      <x:alignment wrapText="1"/>
    </x:xf>
    <x:xf numFmtId="204" fontId="5" fillId="0" borderId="1" xfId="0" applyNumberFormat="1" applyFont="1" applyFill="1" applyBorder="1" applyAlignment="1">
      <x:alignment wrapText="1"/>
    </x:xf>
    <x:xf numFmtId="0" fontId="2" fillId="4" borderId="1" xfId="0" applyNumberFormat="1" applyFont="1" applyFill="1" applyBorder="1" applyAlignment="1">
      <x:alignment wrapText="1"/>
    </x:xf>
    <x:xf numFmtId="201" fontId="5" fillId="0" borderId="0" xfId="0" applyNumberFormat="1" applyFont="1" applyFill="1" applyBorder="1" applyAlignment="1">
      <x:alignment wrapText="1"/>
    </x:xf>
    <x:xf numFmtId="200" fontId="6" fillId="0" borderId="0" xfId="0" applyNumberFormat="1" applyFont="1" applyFill="1" applyBorder="1" applyAlignment="1">
      <x:alignment wrapText="1"/>
    </x:xf>
    <x:xf numFmtId="205" fontId="6" fillId="0" borderId="0" xfId="0" applyNumberFormat="1" applyFont="1" applyFill="1" applyBorder="1" applyAlignment="1">
      <x:alignment wrapText="1"/>
    </x:xf>
    <x:xf numFmtId="206"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1" fontId="5" fillId="0" borderId="1" xfId="0" applyNumberFormat="1" applyFont="1" applyFill="1" applyBorder="1" applyAlignment="1">
      <x:alignment wrapText="1"/>
    </x:xf>
    <x:xf numFmtId="200" fontId="6" fillId="0" borderId="1" xfId="0" applyNumberFormat="1" applyFont="1" applyFill="1" applyBorder="1" applyAlignment="1">
      <x:alignment wrapText="1"/>
    </x:xf>
    <x:xf numFmtId="205" fontId="6" fillId="0" borderId="1" xfId="0" applyNumberFormat="1" applyFont="1" applyFill="1" applyBorder="1" applyAlignment="1">
      <x:alignment wrapText="1"/>
    </x:xf>
    <x:xf numFmtId="206"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d325f97ee4470a" /><Relationship Type="http://schemas.openxmlformats.org/officeDocument/2006/relationships/theme" Target="/xl/theme/theme1.xml" Id="Rd6a12a705d0a45aa" /><Relationship Type="http://schemas.openxmlformats.org/officeDocument/2006/relationships/sharedStrings" Target="/xl/sharedStrings.xml" Id="Re063c046eba34151" /><Relationship Type="http://schemas.openxmlformats.org/officeDocument/2006/relationships/worksheet" Target="/xl/worksheets/sheet1.xml" Id="Rc3ff813cd89f45ea" /><Relationship Type="http://schemas.openxmlformats.org/officeDocument/2006/relationships/worksheet" Target="/xl/worksheets/sheet2.xml" Id="Read959c125204303" /><Relationship Type="http://schemas.openxmlformats.org/officeDocument/2006/relationships/worksheet" Target="/xl/worksheets/sheet3.xml" Id="R5e3c542046514d8e" /><Relationship Type="http://schemas.openxmlformats.org/officeDocument/2006/relationships/worksheet" Target="/xl/worksheets/sheet4.xml" Id="R96891f1eecbc4c1f" /></Relationships>
</file>

<file path=xl/drawings/_rels/drawing1.xml.rels>&#65279;<?xml version="1.0" encoding="utf-8"?><Relationships xmlns="http://schemas.openxmlformats.org/package/2006/relationships"><Relationship Type="http://schemas.openxmlformats.org/officeDocument/2006/relationships/chart" Target="/xl/drawings/charts/chart1.xml" Id="R47a97a7c53e24f79" /></Relationships>
</file>

<file path=xl/drawings/_rels/drawing2.xml.rels>&#65279;<?xml version="1.0" encoding="utf-8"?><Relationships xmlns="http://schemas.openxmlformats.org/package/2006/relationships"><Relationship Type="http://schemas.openxmlformats.org/officeDocument/2006/relationships/chart" Target="/xl/drawings/charts/chart2.xml" Id="R3c86e9ad79c84ce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Variance Decomposition ($mm)</a:t>
            </a:r>
          </a:p>
        </c:rich>
      </c:tx>
    </c:title>
    <c:plotArea>
      <c:barChart>
        <c:barDir val="col"/>
        <c:varyColors val="0"/>
        <c:ser>
          <c:idx val="0"/>
          <c:order val="0"/>
          <c:tx>
            <c:v>$mm</c:v>
          </c:tx>
          <c:cat>
            <c:strRef>
              <c:f>'Executive Summary'!$A$11:$A$13</c:f>
              <c:strCache>
                <c:ptCount val="0"/>
              </c:strCache>
            </c:strRef>
          </c:cat>
          <c:val>
            <c:numRef>
              <c:f>'Executive Summary'!$B$11:$B$13</c:f>
              <c:numCache>
                <c:formatCode>$0.00;[Red]($0.00);-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Scenario Revenue &amp; Gross Profit</a:t>
            </a:r>
          </a:p>
        </c:rich>
      </c:tx>
    </c:title>
    <c:plotArea>
      <c:lineChart>
        <c:grouping val="standard"/>
        <c:ser>
          <c:idx val="0"/>
          <c:order val="0"/>
          <c:tx>
            <c:v>Price Change</c:v>
          </c:tx>
          <c:marker>
            <c:symbol val="none"/>
          </c:marker>
          <c:cat>
            <c:strRef>
              <c:f>'Pricing Scenario'!$A$4:$A$8</c:f>
              <c:strCache>
                <c:ptCount val="0"/>
              </c:strCache>
            </c:strRef>
          </c:cat>
          <c:val>
            <c:numRef>
              <c:f>'Pricing Scenario'!$B$4:$B$8</c:f>
              <c:numCache>
                <c:formatCode>0.0%</c:formatCode>
                <c:ptCount val="0"/>
              </c:numCache>
            </c:numRef>
          </c:val>
        </c:ser>
        <c:ser>
          <c:idx val="1"/>
          <c:order val="1"/>
          <c:tx>
            <c:v>Scenario Price ($)</c:v>
          </c:tx>
          <c:marker>
            <c:symbol val="none"/>
          </c:marker>
          <c:cat>
            <c:strRef>
              <c:f>'Pricing Scenario'!$A$4:$A$8</c:f>
              <c:strCache>
                <c:ptCount val="0"/>
              </c:strCache>
            </c:strRef>
          </c:cat>
          <c:val>
            <c:numRef>
              <c:f>'Pricing Scenario'!$C$4:$C$8</c:f>
              <c:numCache>
                <c:formatCode>$0.00</c:formatCode>
                <c:ptCount val="0"/>
              </c:numCache>
            </c:numRef>
          </c:val>
        </c:ser>
        <c:ser>
          <c:idx val="2"/>
          <c:order val="2"/>
          <c:tx>
            <c:v>Expected Units</c:v>
          </c:tx>
          <c:marker>
            <c:symbol val="none"/>
          </c:marker>
          <c:cat>
            <c:strRef>
              <c:f>'Pricing Scenario'!$A$4:$A$8</c:f>
              <c:strCache>
                <c:ptCount val="0"/>
              </c:strCache>
            </c:strRef>
          </c:cat>
          <c:val>
            <c:numRef>
              <c:f>'Pricing Scenario'!$D$4:$D$8</c:f>
              <c:numCache>
                <c:formatCode>#,##0</c:formatCode>
                <c:ptCount val="0"/>
              </c:numCache>
            </c:numRef>
          </c:val>
        </c:ser>
        <c:ser>
          <c:idx val="3"/>
          <c:order val="3"/>
          <c:tx>
            <c:v>Revenue ($)</c:v>
          </c:tx>
          <c:marker>
            <c:symbol val="none"/>
          </c:marker>
          <c:cat>
            <c:strRef>
              <c:f>'Pricing Scenario'!$A$4:$A$8</c:f>
              <c:strCache>
                <c:ptCount val="0"/>
              </c:strCache>
            </c:strRef>
          </c:cat>
          <c:val>
            <c:numRef>
              <c:f>'Pricing Scenario'!$E$4:$E$8</c:f>
              <c:numCache>
                <c:formatCode>$#,##0;[Red]($#,##0);-</c:formatCode>
                <c:ptCount val="0"/>
              </c:numCache>
            </c:numRef>
          </c:val>
        </c:ser>
        <c:ser>
          <c:idx val="4"/>
          <c:order val="4"/>
          <c:tx>
            <c:v>Gross Profit ($)</c:v>
          </c:tx>
          <c:marker>
            <c:symbol val="none"/>
          </c:marker>
          <c:cat>
            <c:strRef>
              <c:f>'Pricing Scenario'!$A$4:$A$8</c:f>
              <c:strCache>
                <c:ptCount val="0"/>
              </c:strCache>
            </c:strRef>
          </c:cat>
          <c:val>
            <c:numRef>
              <c:f>'Pricing Scenario'!$F$4:$F$8</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a97a7c53e24f79"/>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10</xdr:row>
      <xdr:rowOff>0</xdr:rowOff>
    </xdr:from>
    <xdr:to>
      <xdr:col>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86e9ad79c84ce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fbc513318e04e46" /></Relationships>
</file>

<file path=xl/worksheets/_rels/sheet3.xml.rels>&#65279;<?xml version="1.0" encoding="utf-8"?><Relationships xmlns="http://schemas.openxmlformats.org/package/2006/relationships"><Relationship Type="http://schemas.openxmlformats.org/officeDocument/2006/relationships/drawing" Target="/xl/drawings/drawing2.xml" Id="Raaef16bb3155453f" /></Relationships>
</file>

<file path=xl/worksheets/sheet1.xml><?xml version="1.0" encoding="utf-8"?>
<x:worksheet xmlns:x="http://schemas.openxmlformats.org/spreadsheetml/2006/main">
  <x:sheetFormatPr defaultRowHeight="15"/>
  <x:cols>
    <x:col min="1" max="1" width="22" hidden="0" customWidth="1"/>
    <x:col min="2" max="2" width="14"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57" t="str">
        <x:v>CPG Revenue Growth &amp; Trade Promotion Diagnostic</x:v>
      </x:c>
      <x:c r="B1" s="57"/>
      <x:c r="C1" s="57"/>
      <x:c r="D1" s="57"/>
      <x:c r="E1" s="57"/>
      <x:c r="F1" s="57"/>
      <x:c r="G1" s="57"/>
      <x:c r="H1" s="57"/>
      <x:c r="I1" s="25"/>
      <x:c r="J1" s="25"/>
      <x:c r="K1" s="25"/>
      <x:c r="L1" s="25"/>
      <x:c r="M1" s="25"/>
      <x:c r="N1" s="25"/>
    </x:row>
    <x:row r="2">
      <x:c r="A2" s="25"/>
      <x:c r="B2" s="25"/>
      <x:c r="C2" s="25"/>
      <x:c r="D2" s="25"/>
      <x:c r="E2" s="25"/>
      <x:c r="F2" s="25"/>
      <x:c r="G2" s="25"/>
      <x:c r="H2" s="25"/>
      <x:c r="I2" s="25"/>
      <x:c r="J2" s="25"/>
      <x:c r="K2" s="25"/>
      <x:c r="L2" s="25"/>
      <x:c r="M2" s="25"/>
      <x:c r="N2" s="25"/>
    </x:row>
    <x:row r="3">
      <x:c r="A3" s="58" t="str">
        <x:v>KPI</x:v>
      </x:c>
      <x:c r="B3" s="58" t="str">
        <x:v>Value</x:v>
      </x:c>
      <x:c r="C3" s="25"/>
      <x:c r="D3" s="58" t="str">
        <x:v>Commercial KPI</x:v>
      </x:c>
      <x:c r="E3" s="58" t="str">
        <x:v>Value</x:v>
      </x:c>
      <x:c r="F3" s="25"/>
      <x:c r="G3" s="25"/>
      <x:c r="H3" s="25"/>
      <x:c r="I3" s="25"/>
      <x:c r="J3" s="25"/>
      <x:c r="K3" s="25"/>
      <x:c r="L3" s="25"/>
      <x:c r="M3" s="25"/>
      <x:c r="N3" s="25"/>
    </x:row>
    <x:row r="4">
      <x:c r="A4" s="25" t="str">
        <x:v>Revenue Plan ($mm)</x:v>
      </x:c>
      <x:c r="B4" s="59" t="n">
        <x:v>26.882084850000002</x:v>
      </x:c>
      <x:c r="C4" s="25"/>
      <x:c r="D4" s="25" t="str">
        <x:v>Trade Spend ($mm)</x:v>
      </x:c>
      <x:c r="E4" s="59" t="n">
        <x:v>0.7171659199999999</x:v>
      </x:c>
      <x:c r="F4" s="25"/>
      <x:c r="G4" s="25"/>
      <x:c r="H4" s="25"/>
      <x:c r="I4" s="25"/>
      <x:c r="J4" s="25"/>
      <x:c r="K4" s="25"/>
      <x:c r="L4" s="25"/>
      <x:c r="M4" s="25"/>
      <x:c r="N4" s="25"/>
    </x:row>
    <x:row r="5">
      <x:c r="A5" s="25" t="str">
        <x:v>Actual Revenue ($mm)</x:v>
      </x:c>
      <x:c r="B5" s="59" t="n">
        <x:v>25.86530743</x:v>
      </x:c>
      <x:c r="C5" s="25"/>
      <x:c r="D5" s="25" t="str">
        <x:v>Gross Margin (%)</x:v>
      </x:c>
      <x:c r="E5" s="60" t="n">
        <x:v>0.5744352264209682</x:v>
      </x:c>
      <x:c r="F5" s="25"/>
      <x:c r="G5" s="25"/>
      <x:c r="H5" s="25"/>
      <x:c r="I5" s="25"/>
      <x:c r="J5" s="25"/>
      <x:c r="K5" s="25"/>
      <x:c r="L5" s="25"/>
      <x:c r="M5" s="25"/>
      <x:c r="N5" s="25"/>
    </x:row>
    <x:row r="6">
      <x:c r="A6" s="25" t="str">
        <x:v>Revenue Gap ($mm)</x:v>
      </x:c>
      <x:c r="B6" s="59" t="n">
        <x:v>-1.0167774200000017</x:v>
      </x:c>
      <x:c r="C6" s="25"/>
      <x:c r="D6" s="25" t="str">
        <x:v>Contribution Margin (%)</x:v>
      </x:c>
      <x:c r="E6" s="60" t="n">
        <x:v>0.5467082828328865</x:v>
      </x:c>
      <x:c r="F6" s="25"/>
      <x:c r="G6" s="25"/>
      <x:c r="H6" s="25"/>
      <x:c r="I6" s="25"/>
      <x:c r="J6" s="25"/>
      <x:c r="K6" s="25"/>
      <x:c r="L6" s="25"/>
      <x:c r="M6" s="25"/>
      <x:c r="N6" s="25"/>
    </x:row>
    <x:row r="7">
      <x:c r="A7" s="25" t="str">
        <x:v>Revenue Gap (%)</x:v>
      </x:c>
      <x:c r="B7" s="60" t="n">
        <x:v>-0.03782360727129397</x:v>
      </x:c>
      <x:c r="C7" s="25"/>
      <x:c r="D7" s="25" t="str">
        <x:v>Actual Units (mm)</x:v>
      </x:c>
      <x:c r="E7" s="61" t="n">
        <x:v>2.422372</x:v>
      </x:c>
      <x:c r="F7" s="25"/>
      <x:c r="G7" s="25"/>
      <x:c r="H7" s="25"/>
      <x:c r="I7" s="25"/>
      <x:c r="J7" s="25"/>
      <x:c r="K7" s="25"/>
      <x:c r="L7" s="25"/>
      <x:c r="M7" s="25"/>
      <x:c r="N7" s="25"/>
    </x:row>
    <x:row r="8">
      <x:c r="A8" s="25"/>
      <x:c r="B8" s="25"/>
      <x:c r="C8" s="25"/>
      <x:c r="D8" s="25" t="str">
        <x:v>Plan Units (mm)</x:v>
      </x:c>
      <x:c r="E8" s="61" t="n">
        <x:v>2.426642</x:v>
      </x:c>
      <x:c r="F8" s="25"/>
      <x:c r="G8" s="25"/>
      <x:c r="H8" s="25"/>
      <x:c r="I8" s="25"/>
      <x:c r="J8" s="25"/>
      <x:c r="K8" s="25"/>
      <x:c r="L8" s="25"/>
      <x:c r="M8" s="25"/>
      <x:c r="N8" s="25"/>
    </x:row>
    <x:row r="9">
      <x:c r="A9" s="25"/>
      <x:c r="B9" s="25"/>
      <x:c r="C9" s="25"/>
      <x:c r="D9" s="25"/>
      <x:c r="E9" s="25"/>
      <x:c r="F9" s="25"/>
      <x:c r="G9" s="25"/>
      <x:c r="H9" s="25"/>
      <x:c r="I9" s="25"/>
      <x:c r="J9" s="25"/>
      <x:c r="K9" s="25"/>
      <x:c r="L9" s="25"/>
      <x:c r="M9" s="25"/>
      <x:c r="N9" s="25"/>
    </x:row>
    <x:row r="10">
      <x:c r="A10" s="58" t="str">
        <x:v>Revenue Variance Driver</x:v>
      </x:c>
      <x:c r="B10" s="58" t="str">
        <x:v>$mm</x:v>
      </x:c>
      <x:c r="C10" s="25"/>
      <x:c r="D10" s="62" t="str">
        <x:v>Decision Summary</x:v>
      </x:c>
      <x:c r="E10" s="62"/>
      <x:c r="F10" s="62"/>
      <x:c r="G10" s="62"/>
      <x:c r="H10" s="62"/>
      <x:c r="I10" s="25"/>
      <x:c r="J10" s="25"/>
      <x:c r="K10" s="25"/>
      <x:c r="L10" s="25"/>
      <x:c r="M10" s="25"/>
      <x:c r="N10" s="25"/>
    </x:row>
    <x:row r="11">
      <x:c r="A11" s="25" t="str">
        <x:v>Volume</x:v>
      </x:c>
      <x:c r="B11" s="63" t="n">
        <x:v>-0.04730261089583878</x:v>
      </x:c>
      <x:c r="C11" s="25"/>
      <x:c r="D11" s="26" t="str">
        <x:v>1) Revenue finished 3.8% below plan, with rate/price dilution explaining most of the gap.
2) Deep-discount promotions create the strongest unit lift but frequently destroy value after trade spend.
3) PR-CHO-4 has pricing headroom: a +3% modeled increase improves gross profit while remaining ~0.5% above the simulated competitor benchmark.
4) Customer D is the largest customer-level revenue gap and should be prioritized for a commercial recovery plan.</x:v>
      </x:c>
      <x:c r="E11" s="26"/>
      <x:c r="F11" s="26"/>
      <x:c r="G11" s="26"/>
      <x:c r="H11" s="26"/>
      <x:c r="I11" s="25"/>
      <x:c r="J11" s="25"/>
      <x:c r="K11" s="25"/>
      <x:c r="L11" s="25"/>
      <x:c r="M11" s="25"/>
      <x:c r="N11" s="25"/>
    </x:row>
    <x:row r="12">
      <x:c r="A12" s="25" t="str">
        <x:v>Mix</x:v>
      </x:c>
      <x:c r="B12" s="63" t="n">
        <x:v>0.02590161089583745</x:v>
      </x:c>
      <x:c r="C12" s="25"/>
      <x:c r="D12" s="26"/>
      <x:c r="E12" s="26"/>
      <x:c r="F12" s="26"/>
      <x:c r="G12" s="26"/>
      <x:c r="H12" s="26"/>
      <x:c r="I12" s="25"/>
      <x:c r="J12" s="25"/>
      <x:c r="K12" s="25"/>
      <x:c r="L12" s="25"/>
      <x:c r="M12" s="25"/>
      <x:c r="N12" s="25"/>
    </x:row>
    <x:row r="13">
      <x:c r="A13" s="25" t="str">
        <x:v>Rate / Price</x:v>
      </x:c>
      <x:c r="B13" s="63" t="n">
        <x:v>-0.99501437</x:v>
      </x:c>
      <x:c r="C13" s="25"/>
      <x:c r="D13" s="26"/>
      <x:c r="E13" s="26"/>
      <x:c r="F13" s="26"/>
      <x:c r="G13" s="26"/>
      <x:c r="H13" s="26"/>
      <x:c r="I13" s="25"/>
      <x:c r="J13" s="25"/>
      <x:c r="K13" s="25"/>
      <x:c r="L13" s="25"/>
      <x:c r="M13" s="25"/>
      <x:c r="N13" s="25"/>
    </x:row>
    <x:row r="14">
      <x:c r="A14" s="25"/>
      <x:c r="B14" s="25"/>
      <x:c r="C14" s="25"/>
      <x:c r="D14" s="26"/>
      <x:c r="E14" s="26"/>
      <x:c r="F14" s="26"/>
      <x:c r="G14" s="26"/>
      <x:c r="H14" s="26"/>
      <x:c r="I14" s="25"/>
      <x:c r="J14" s="25"/>
      <x:c r="K14" s="25"/>
      <x:c r="L14" s="25"/>
      <x:c r="M14" s="25"/>
      <x:c r="N14" s="25"/>
    </x:row>
    <x:row r="15">
      <x:c r="A15" s="25"/>
      <x:c r="B15" s="25"/>
      <x:c r="C15" s="25"/>
      <x:c r="D15" s="26"/>
      <x:c r="E15" s="26"/>
      <x:c r="F15" s="26"/>
      <x:c r="G15" s="26"/>
      <x:c r="H15" s="26"/>
      <x:c r="I15" s="25"/>
      <x:c r="J15" s="25"/>
      <x:c r="K15" s="25"/>
      <x:c r="L15" s="25"/>
      <x:c r="M15" s="25"/>
      <x:c r="N15" s="25"/>
    </x:row>
    <x:row r="16">
      <x:c r="A16" s="25"/>
      <x:c r="B16" s="25"/>
      <x:c r="C16" s="25"/>
      <x:c r="D16" s="25"/>
      <x:c r="E16" s="25"/>
      <x:c r="F16" s="25"/>
      <x:c r="G16" s="25"/>
      <x:c r="H16" s="25"/>
      <x:c r="I16" s="25"/>
      <x:c r="J16" s="25"/>
      <x:c r="K16" s="25"/>
      <x:c r="L16" s="25"/>
      <x:c r="M16" s="25"/>
      <x:c r="N16" s="25"/>
    </x:row>
    <x:row r="17">
      <x:c r="A17" s="25"/>
      <x:c r="B17" s="25"/>
      <x:c r="C17" s="25"/>
      <x:c r="D17" s="25"/>
      <x:c r="E17" s="25"/>
      <x:c r="F17" s="25"/>
      <x:c r="G17" s="25"/>
      <x:c r="H17" s="25"/>
      <x:c r="I17" s="25"/>
      <x:c r="J17" s="25"/>
      <x:c r="K17" s="25"/>
      <x:c r="L17" s="25"/>
      <x:c r="M17" s="25"/>
      <x:c r="N17" s="25"/>
    </x:row>
    <x:row r="18">
      <x:c r="A18" s="25"/>
      <x:c r="B18" s="25"/>
      <x:c r="C18" s="25"/>
      <x:c r="D18" s="25"/>
      <x:c r="E18" s="25"/>
      <x:c r="F18" s="25"/>
      <x:c r="G18" s="25"/>
      <x:c r="H18" s="25"/>
      <x:c r="I18" s="25"/>
      <x:c r="J18" s="25"/>
      <x:c r="K18" s="25"/>
      <x:c r="L18" s="25"/>
      <x:c r="M18" s="25"/>
      <x:c r="N18" s="25"/>
    </x:row>
    <x:row r="19">
      <x:c r="A19" s="25"/>
      <x:c r="B19" s="25"/>
      <x:c r="C19" s="25"/>
      <x:c r="D19" s="25"/>
      <x:c r="E19" s="25"/>
      <x:c r="F19" s="25"/>
      <x:c r="G19" s="25"/>
      <x:c r="H19" s="25"/>
      <x:c r="I19" s="25"/>
      <x:c r="J19" s="25"/>
      <x:c r="K19" s="25"/>
      <x:c r="L19" s="25"/>
      <x:c r="M19" s="25"/>
      <x:c r="N19" s="25"/>
    </x:row>
    <x:row r="20">
      <x:c r="A20" s="25"/>
      <x:c r="B20" s="25"/>
      <x:c r="C20" s="25"/>
      <x:c r="D20" s="25"/>
      <x:c r="E20" s="25"/>
      <x:c r="F20" s="25"/>
      <x:c r="G20" s="25"/>
      <x:c r="H20" s="25"/>
      <x:c r="I20" s="25"/>
      <x:c r="J20" s="25"/>
      <x:c r="K20" s="25"/>
      <x:c r="L20" s="25"/>
      <x:c r="M20" s="25"/>
      <x:c r="N20" s="25"/>
    </x:row>
    <x:row r="21">
      <x:c r="A21" s="25"/>
      <x:c r="B21" s="25"/>
      <x:c r="C21" s="25"/>
      <x:c r="D21" s="25"/>
      <x:c r="E21" s="25"/>
      <x:c r="F21" s="25"/>
      <x:c r="G21" s="25"/>
      <x:c r="H21" s="25"/>
      <x:c r="I21" s="25"/>
      <x:c r="J21" s="25"/>
      <x:c r="K21" s="25"/>
      <x:c r="L21" s="25"/>
      <x:c r="M21" s="25"/>
      <x:c r="N21" s="25"/>
    </x:row>
    <x:row r="22">
      <x:c r="A22" s="25"/>
      <x:c r="B22" s="25"/>
      <x:c r="C22" s="25"/>
      <x:c r="D22" s="25"/>
      <x:c r="E22" s="25"/>
      <x:c r="F22" s="25"/>
      <x:c r="G22" s="25"/>
      <x:c r="H22" s="25"/>
      <x:c r="I22" s="25"/>
      <x:c r="J22" s="25"/>
      <x:c r="K22" s="25"/>
      <x:c r="L22" s="25"/>
      <x:c r="M22" s="25"/>
      <x:c r="N22" s="25"/>
    </x:row>
    <x:row r="23">
      <x:c r="A23" s="25"/>
      <x:c r="B23" s="25"/>
      <x:c r="C23" s="25"/>
      <x:c r="D23" s="25"/>
      <x:c r="E23" s="25"/>
      <x:c r="F23" s="25"/>
      <x:c r="G23" s="25"/>
      <x:c r="H23" s="25"/>
      <x:c r="I23" s="25"/>
      <x:c r="J23" s="25"/>
      <x:c r="K23" s="25"/>
      <x:c r="L23" s="25"/>
      <x:c r="M23" s="25"/>
      <x:c r="N23" s="25"/>
    </x:row>
    <x:row r="24">
      <x:c r="A24" s="25"/>
      <x:c r="B24" s="25"/>
      <x:c r="C24" s="25"/>
      <x:c r="D24" s="25"/>
      <x:c r="E24" s="25"/>
      <x:c r="F24" s="25"/>
      <x:c r="G24" s="25"/>
      <x:c r="H24" s="25"/>
      <x:c r="I24" s="25"/>
      <x:c r="J24" s="25"/>
      <x:c r="K24" s="25"/>
      <x:c r="L24" s="25"/>
      <x:c r="M24" s="25"/>
      <x:c r="N24" s="25"/>
    </x:row>
    <x:row r="25">
      <x:c r="A25" s="25"/>
      <x:c r="B25" s="25"/>
      <x:c r="C25" s="25"/>
      <x:c r="D25" s="25"/>
      <x:c r="E25" s="25"/>
      <x:c r="F25" s="25"/>
      <x:c r="G25" s="25"/>
      <x:c r="H25" s="25"/>
      <x:c r="I25" s="25"/>
      <x:c r="J25" s="25"/>
      <x:c r="K25" s="25"/>
      <x:c r="L25" s="25"/>
      <x:c r="M25" s="25"/>
      <x:c r="N25" s="25"/>
    </x:row>
    <x:row r="26">
      <x:c r="A26" s="25"/>
      <x:c r="B26" s="25"/>
      <x:c r="C26" s="25"/>
      <x:c r="D26" s="25"/>
      <x:c r="E26" s="25"/>
      <x:c r="F26" s="25"/>
      <x:c r="G26" s="25"/>
      <x:c r="H26" s="25"/>
      <x:c r="I26" s="25"/>
      <x:c r="J26" s="25"/>
      <x:c r="K26" s="25"/>
      <x:c r="L26" s="25"/>
      <x:c r="M26" s="25"/>
      <x:c r="N26" s="25"/>
    </x:row>
    <x:row r="27">
      <x:c r="A27" s="25"/>
      <x:c r="B27" s="25"/>
      <x:c r="C27" s="25"/>
      <x:c r="D27" s="25"/>
      <x:c r="E27" s="25"/>
      <x:c r="F27" s="25"/>
      <x:c r="G27" s="25"/>
      <x:c r="H27" s="25"/>
      <x:c r="I27" s="25"/>
      <x:c r="J27" s="25"/>
      <x:c r="K27" s="25"/>
      <x:c r="L27" s="25"/>
      <x:c r="M27" s="25"/>
      <x:c r="N27" s="25"/>
    </x:row>
    <x:row r="28">
      <x:c r="A28" s="25"/>
      <x:c r="B28" s="25"/>
      <x:c r="C28" s="25"/>
      <x:c r="D28" s="25"/>
      <x:c r="E28" s="25"/>
      <x:c r="F28" s="25"/>
      <x:c r="G28" s="25"/>
      <x:c r="H28" s="25"/>
      <x:c r="I28" s="25"/>
      <x:c r="J28" s="25"/>
      <x:c r="K28" s="25"/>
      <x:c r="L28" s="25"/>
      <x:c r="M28" s="25"/>
      <x:c r="N28" s="25"/>
    </x:row>
    <x:row r="29">
      <x:c r="A29" s="25"/>
      <x:c r="B29" s="25"/>
      <x:c r="C29" s="25"/>
      <x:c r="D29" s="25"/>
      <x:c r="E29" s="25"/>
      <x:c r="F29" s="25"/>
      <x:c r="G29" s="25"/>
      <x:c r="H29" s="25"/>
      <x:c r="I29" s="25"/>
      <x:c r="J29" s="25"/>
      <x:c r="K29" s="25"/>
      <x:c r="L29" s="25"/>
      <x:c r="M29" s="25"/>
      <x:c r="N29" s="25"/>
    </x:row>
    <x:row r="30">
      <x:c r="A30" s="25"/>
      <x:c r="B30" s="25"/>
      <x:c r="C30" s="25"/>
      <x:c r="D30" s="25"/>
      <x:c r="E30" s="25"/>
      <x:c r="F30" s="25"/>
      <x:c r="G30" s="25"/>
      <x:c r="H30" s="25"/>
      <x:c r="I30" s="25"/>
      <x:c r="J30" s="25"/>
      <x:c r="K30" s="25"/>
      <x:c r="L30" s="25"/>
      <x:c r="M30" s="25"/>
      <x:c r="N30" s="25"/>
    </x:row>
    <x:row r="31">
      <x:c r="A31" s="25"/>
      <x:c r="B31" s="25"/>
      <x:c r="C31" s="25"/>
      <x:c r="D31" s="25"/>
      <x:c r="E31" s="25"/>
      <x:c r="F31" s="25"/>
      <x:c r="G31" s="25"/>
      <x:c r="H31" s="25"/>
      <x:c r="I31" s="25"/>
      <x:c r="J31" s="25"/>
      <x:c r="K31" s="25"/>
      <x:c r="L31" s="25"/>
      <x:c r="M31" s="25"/>
      <x:c r="N31" s="25"/>
    </x:row>
    <x:row r="32">
      <x:c r="A32" s="25"/>
      <x:c r="B32" s="25"/>
      <x:c r="C32" s="25"/>
      <x:c r="D32" s="25"/>
      <x:c r="E32" s="25"/>
      <x:c r="F32" s="25"/>
      <x:c r="G32" s="25"/>
      <x:c r="H32" s="25"/>
      <x:c r="I32" s="25"/>
      <x:c r="J32" s="25"/>
      <x:c r="K32" s="25"/>
      <x:c r="L32" s="25"/>
      <x:c r="M32" s="25"/>
      <x:c r="N32" s="25"/>
    </x:row>
    <x:row r="33">
      <x:c r="A33" s="25"/>
      <x:c r="B33" s="25"/>
      <x:c r="C33" s="25"/>
      <x:c r="D33" s="25"/>
      <x:c r="E33" s="25"/>
      <x:c r="F33" s="25"/>
      <x:c r="G33" s="25"/>
      <x:c r="H33" s="25"/>
      <x:c r="I33" s="25"/>
      <x:c r="J33" s="25"/>
      <x:c r="K33" s="25"/>
      <x:c r="L33" s="25"/>
      <x:c r="M33" s="25"/>
      <x:c r="N33" s="25"/>
    </x:row>
    <x:row r="34">
      <x:c r="A34" s="25"/>
      <x:c r="B34" s="25"/>
      <x:c r="C34" s="25"/>
      <x:c r="D34" s="25"/>
      <x:c r="E34" s="25"/>
      <x:c r="F34" s="25"/>
      <x:c r="G34" s="25"/>
      <x:c r="H34" s="25"/>
      <x:c r="I34" s="25"/>
      <x:c r="J34" s="25"/>
      <x:c r="K34" s="25"/>
      <x:c r="L34" s="25"/>
      <x:c r="M34" s="25"/>
      <x:c r="N34" s="25"/>
    </x:row>
    <x:row r="35">
      <x:c r="A35" s="25"/>
      <x:c r="B35" s="25"/>
      <x:c r="C35" s="25"/>
      <x:c r="D35" s="25"/>
      <x:c r="E35" s="25"/>
      <x:c r="F35" s="25"/>
      <x:c r="G35" s="25"/>
      <x:c r="H35" s="25"/>
      <x:c r="I35" s="25"/>
      <x:c r="J35" s="25"/>
      <x:c r="K35" s="25"/>
      <x:c r="L35" s="25"/>
      <x:c r="M35" s="25"/>
      <x:c r="N35" s="25"/>
    </x:row>
    <x:row r="36">
      <x:c r="A36" s="25"/>
      <x:c r="B36" s="25"/>
      <x:c r="C36" s="25"/>
      <x:c r="D36" s="25"/>
      <x:c r="E36" s="25"/>
      <x:c r="F36" s="25"/>
      <x:c r="G36" s="25"/>
      <x:c r="H36" s="25"/>
      <x:c r="I36" s="25"/>
      <x:c r="J36" s="25"/>
      <x:c r="K36" s="25"/>
      <x:c r="L36" s="25"/>
      <x:c r="M36" s="25"/>
      <x:c r="N36" s="25"/>
    </x:row>
    <x:row r="37">
      <x:c r="A37" s="25"/>
      <x:c r="B37" s="25"/>
      <x:c r="C37" s="25"/>
      <x:c r="D37" s="25"/>
      <x:c r="E37" s="25"/>
      <x:c r="F37" s="25"/>
      <x:c r="G37" s="25"/>
      <x:c r="H37" s="25"/>
      <x:c r="I37" s="25"/>
      <x:c r="J37" s="25"/>
      <x:c r="K37" s="25"/>
      <x:c r="L37" s="25"/>
      <x:c r="M37" s="25"/>
      <x:c r="N37" s="25"/>
    </x:row>
    <x:row r="38">
      <x:c r="A38" s="25"/>
      <x:c r="B38" s="25"/>
      <x:c r="C38" s="25"/>
      <x:c r="D38" s="25"/>
      <x:c r="E38" s="25"/>
      <x:c r="F38" s="25"/>
      <x:c r="G38" s="25"/>
      <x:c r="H38" s="25"/>
      <x:c r="I38" s="25"/>
      <x:c r="J38" s="25"/>
      <x:c r="K38" s="25"/>
      <x:c r="L38" s="25"/>
      <x:c r="M38" s="25"/>
      <x:c r="N38" s="25"/>
    </x:row>
    <x:row r="39">
      <x:c r="A39" s="25"/>
      <x:c r="B39" s="25"/>
      <x:c r="C39" s="25"/>
      <x:c r="D39" s="25"/>
      <x:c r="E39" s="25"/>
      <x:c r="F39" s="25"/>
      <x:c r="G39" s="25"/>
      <x:c r="H39" s="25"/>
      <x:c r="I39" s="25"/>
      <x:c r="J39" s="25"/>
      <x:c r="K39" s="25"/>
      <x:c r="L39" s="25"/>
      <x:c r="M39" s="25"/>
      <x:c r="N39" s="25"/>
    </x:row>
    <x:row r="40">
      <x:c r="A40" s="25"/>
      <x:c r="B40" s="25"/>
      <x:c r="C40" s="25"/>
      <x:c r="D40" s="25"/>
      <x:c r="E40" s="25"/>
      <x:c r="F40" s="25"/>
      <x:c r="G40" s="25"/>
      <x:c r="H40" s="25"/>
      <x:c r="I40" s="25"/>
      <x:c r="J40" s="25"/>
      <x:c r="K40" s="25"/>
      <x:c r="L40" s="25"/>
      <x:c r="M40" s="25"/>
      <x:c r="N40" s="25"/>
    </x:row>
  </x:sheetData>
  <x:mergeCells>
    <x:mergeCell ref="A1:H1"/>
    <x:mergeCell ref="D10:H10"/>
    <x:mergeCell ref="D11:H15"/>
  </x:mergeCells>
  <x:pageMargins left="0.7" right="0.7" top="0.75" bottom="0.75" header="0.3" footer="0.3"/>
  <x:drawing xmlns:r="http://schemas.openxmlformats.org/officeDocument/2006/relationships" r:id="R5fbc513318e04e46"/>
</x:worksheet>
</file>

<file path=xl/worksheets/sheet2.xml><?xml version="1.0" encoding="utf-8"?>
<x:worksheet xmlns:x="http://schemas.openxmlformats.org/spreadsheetml/2006/main">
  <x:sheetFormatPr defaultRowHeight="15"/>
  <x:cols>
    <x:col min="1" max="1" width="24" hidden="0" customWidth="1"/>
    <x:col min="2" max="2" width="18" hidden="0" customWidth="1"/>
    <x:col min="3" max="3" width="42" hidden="0" customWidth="1"/>
  </x:cols>
  <x:sheetData>
    <x:row r="1">
      <x:c r="A1" s="71" t="str">
        <x:v>Pricing Scenario Inputs — PR-CHO-4</x:v>
      </x:c>
      <x:c r="B1" s="71"/>
      <x:c r="C1" s="71"/>
      <x:c r="D1" s="71"/>
      <x:c r="E1" s="71"/>
      <x:c r="F1" s="71"/>
      <x:c r="G1" s="25"/>
      <x:c r="H1" s="25"/>
      <x:c r="I1" s="25"/>
      <x:c r="J1" s="25"/>
      <x:c r="K1" s="25"/>
      <x:c r="L1" s="25"/>
      <x:c r="M1" s="25"/>
      <x:c r="N1" s="25"/>
    </x:row>
    <x:row r="2">
      <x:c r="A2" s="25"/>
      <x:c r="B2" s="25"/>
      <x:c r="C2" s="25"/>
      <x:c r="D2" s="25"/>
      <x:c r="E2" s="25"/>
      <x:c r="F2" s="25"/>
      <x:c r="G2" s="25"/>
      <x:c r="H2" s="25"/>
      <x:c r="I2" s="25"/>
      <x:c r="J2" s="25"/>
      <x:c r="K2" s="25"/>
      <x:c r="L2" s="25"/>
      <x:c r="M2" s="25"/>
      <x:c r="N2" s="25"/>
    </x:row>
    <x:row r="3">
      <x:c r="A3" s="58" t="str">
        <x:v>Input</x:v>
      </x:c>
      <x:c r="B3" s="58" t="str">
        <x:v>Value</x:v>
      </x:c>
      <x:c r="C3" s="58" t="str">
        <x:v>Source / Note</x:v>
      </x:c>
      <x:c r="D3" s="25"/>
      <x:c r="E3" s="25"/>
      <x:c r="F3" s="25"/>
      <x:c r="G3" s="25"/>
      <x:c r="H3" s="25"/>
      <x:c r="I3" s="25"/>
      <x:c r="J3" s="25"/>
      <x:c r="K3" s="25"/>
      <x:c r="L3" s="25"/>
      <x:c r="M3" s="25"/>
      <x:c r="N3" s="25"/>
    </x:row>
    <x:row r="4">
      <x:c r="A4" s="25" t="str">
        <x:v>SKU</x:v>
      </x:c>
      <x:c r="B4" s="72" t="str">
        <x:v>PR-CHO-4</x:v>
      </x:c>
      <x:c r="C4" s="25" t="str">
        <x:v>Simulated portfolio SKU</x:v>
      </x:c>
      <x:c r="D4" s="25"/>
      <x:c r="E4" s="25"/>
      <x:c r="F4" s="25"/>
      <x:c r="G4" s="25"/>
      <x:c r="H4" s="25"/>
      <x:c r="I4" s="25"/>
      <x:c r="J4" s="25"/>
      <x:c r="K4" s="25"/>
      <x:c r="L4" s="25"/>
      <x:c r="M4" s="25"/>
      <x:c r="N4" s="25"/>
    </x:row>
    <x:row r="5">
      <x:c r="A5" s="25" t="str">
        <x:v>Base non-promo units</x:v>
      </x:c>
      <x:c r="B5" s="72" t="n">
        <x:v>100863</x:v>
      </x:c>
      <x:c r="C5" s="25" t="str">
        <x:v>Generated case dataset</x:v>
      </x:c>
      <x:c r="D5" s="25"/>
      <x:c r="E5" s="25"/>
      <x:c r="F5" s="25"/>
      <x:c r="G5" s="25"/>
      <x:c r="H5" s="25"/>
      <x:c r="I5" s="25"/>
      <x:c r="J5" s="25"/>
      <x:c r="K5" s="25"/>
      <x:c r="L5" s="25"/>
      <x:c r="M5" s="25"/>
      <x:c r="N5" s="25"/>
    </x:row>
    <x:row r="6">
      <x:c r="A6" s="25" t="str">
        <x:v>Current net price ($)</x:v>
      </x:c>
      <x:c r="B6" s="73" t="n">
        <x:v>12.372851689916024</x:v>
      </x:c>
      <x:c r="C6" s="25" t="str">
        <x:v>Weighted average non-promo net price</x:v>
      </x:c>
      <x:c r="D6" s="25"/>
      <x:c r="E6" s="25"/>
      <x:c r="F6" s="25"/>
      <x:c r="G6" s="25"/>
      <x:c r="H6" s="25"/>
      <x:c r="I6" s="25"/>
      <x:c r="J6" s="25"/>
      <x:c r="K6" s="25"/>
      <x:c r="L6" s="25"/>
      <x:c r="M6" s="25"/>
      <x:c r="N6" s="25"/>
    </x:row>
    <x:row r="7">
      <x:c r="A7" s="25" t="str">
        <x:v>Competitor price ($)</x:v>
      </x:c>
      <x:c r="B7" s="73" t="n">
        <x:v>12.679206448350733</x:v>
      </x:c>
      <x:c r="C7" s="25" t="str">
        <x:v>Weighted average simulated competitor price</x:v>
      </x:c>
      <x:c r="D7" s="25"/>
      <x:c r="E7" s="25"/>
      <x:c r="F7" s="25"/>
      <x:c r="G7" s="25"/>
      <x:c r="H7" s="25"/>
      <x:c r="I7" s="25"/>
      <x:c r="J7" s="25"/>
      <x:c r="K7" s="25"/>
      <x:c r="L7" s="25"/>
      <x:c r="M7" s="25"/>
      <x:c r="N7" s="25"/>
    </x:row>
    <x:row r="8">
      <x:c r="A8" s="25" t="str">
        <x:v>COGS / unit ($)</x:v>
      </x:c>
      <x:c r="B8" s="73" t="n">
        <x:v>5.65</x:v>
      </x:c>
      <x:c r="C8" s="25" t="str">
        <x:v>Simulated product cost</x:v>
      </x:c>
      <x:c r="D8" s="25"/>
      <x:c r="E8" s="25"/>
      <x:c r="F8" s="25"/>
      <x:c r="G8" s="25"/>
      <x:c r="H8" s="25"/>
      <x:c r="I8" s="25"/>
      <x:c r="J8" s="25"/>
      <x:c r="K8" s="25"/>
      <x:c r="L8" s="25"/>
      <x:c r="M8" s="25"/>
      <x:c r="N8" s="25"/>
    </x:row>
    <x:row r="9">
      <x:c r="A9" s="25" t="str">
        <x:v>Assumed price elasticity</x:v>
      </x:c>
      <x:c r="B9" s="74" t="n">
        <x:v>-0.9</x:v>
      </x:c>
      <x:c r="C9" s="25" t="str">
        <x:v>Scenario assumption; not a causal estimate</x:v>
      </x:c>
      <x:c r="D9" s="25"/>
      <x:c r="E9" s="25"/>
      <x:c r="F9" s="25"/>
      <x:c r="G9" s="25"/>
      <x:c r="H9" s="25"/>
      <x:c r="I9" s="25"/>
      <x:c r="J9" s="25"/>
      <x:c r="K9" s="25"/>
      <x:c r="L9" s="25"/>
      <x:c r="M9" s="25"/>
      <x:c r="N9" s="25"/>
    </x:row>
    <x:row r="10">
      <x:c r="A10" s="25"/>
      <x:c r="B10" s="25"/>
      <x:c r="C10" s="25"/>
      <x:c r="D10" s="25"/>
      <x:c r="E10" s="25"/>
      <x:c r="F10" s="25"/>
      <x:c r="G10" s="25"/>
      <x:c r="H10" s="25"/>
      <x:c r="I10" s="25"/>
      <x:c r="J10" s="25"/>
      <x:c r="K10" s="25"/>
      <x:c r="L10" s="25"/>
      <x:c r="M10" s="25"/>
      <x:c r="N10" s="25"/>
    </x:row>
    <x:row r="11">
      <x:c r="A11" s="75" t="str">
        <x:v>Modeling Note</x:v>
      </x:c>
      <x:c r="B11" s="75" t="str"/>
      <x:c r="C11" s="75" t="str"/>
      <x:c r="D11" s="25"/>
      <x:c r="E11" s="25"/>
      <x:c r="F11" s="25"/>
      <x:c r="G11" s="25"/>
      <x:c r="H11" s="25"/>
      <x:c r="I11" s="25"/>
      <x:c r="J11" s="25"/>
      <x:c r="K11" s="25"/>
      <x:c r="L11" s="25"/>
      <x:c r="M11" s="25"/>
      <x:c r="N11" s="25"/>
    </x:row>
    <x:row r="12">
      <x:c r="A12" s="25" t="str">
        <x:v>Purpose</x:v>
      </x:c>
      <x:c r="B12" s="25" t="str">
        <x:v>Test revenue and gross-profit sensitivity to price changes</x:v>
      </x:c>
      <x:c r="C12" s="25" t="str"/>
      <x:c r="D12" s="25"/>
      <x:c r="E12" s="25"/>
      <x:c r="F12" s="25"/>
      <x:c r="G12" s="25"/>
      <x:c r="H12" s="25"/>
      <x:c r="I12" s="25"/>
      <x:c r="J12" s="25"/>
      <x:c r="K12" s="25"/>
      <x:c r="L12" s="25"/>
      <x:c r="M12" s="25"/>
      <x:c r="N12" s="25"/>
    </x:row>
    <x:row r="13">
      <x:c r="A13" s="25" t="str">
        <x:v>Caution</x:v>
      </x:c>
      <x:c r="B13" s="25" t="str">
        <x:v>Elasticity is an explicit simulated assumption and should be validated with observed data before a real pricing decision.</x:v>
      </x:c>
      <x:c r="C13" s="25" t="str"/>
      <x:c r="D13" s="25"/>
      <x:c r="E13" s="25"/>
      <x:c r="F13" s="25"/>
      <x:c r="G13" s="25"/>
      <x:c r="H13" s="25"/>
      <x:c r="I13" s="25"/>
      <x:c r="J13" s="25"/>
      <x:c r="K13" s="25"/>
      <x:c r="L13" s="25"/>
      <x:c r="M13" s="25"/>
      <x:c r="N13" s="25"/>
    </x:row>
    <x:row r="14">
      <x:c r="A14" s="25"/>
      <x:c r="B14" s="25"/>
      <x:c r="C14" s="25"/>
      <x:c r="D14" s="25"/>
      <x:c r="E14" s="25"/>
      <x:c r="F14" s="25"/>
      <x:c r="G14" s="25"/>
      <x:c r="H14" s="25"/>
      <x:c r="I14" s="25"/>
      <x:c r="J14" s="25"/>
      <x:c r="K14" s="25"/>
      <x:c r="L14" s="25"/>
      <x:c r="M14" s="25"/>
      <x:c r="N14" s="25"/>
    </x:row>
    <x:row r="15">
      <x:c r="A15" s="25"/>
      <x:c r="B15" s="25"/>
      <x:c r="C15" s="25"/>
      <x:c r="D15" s="25"/>
      <x:c r="E15" s="25"/>
      <x:c r="F15" s="25"/>
      <x:c r="G15" s="25"/>
      <x:c r="H15" s="25"/>
      <x:c r="I15" s="25"/>
      <x:c r="J15" s="25"/>
      <x:c r="K15" s="25"/>
      <x:c r="L15" s="25"/>
      <x:c r="M15" s="25"/>
      <x:c r="N15" s="25"/>
    </x:row>
    <x:row r="16">
      <x:c r="A16" s="25"/>
      <x:c r="B16" s="25"/>
      <x:c r="C16" s="25"/>
      <x:c r="D16" s="25"/>
      <x:c r="E16" s="25"/>
      <x:c r="F16" s="25"/>
      <x:c r="G16" s="25"/>
      <x:c r="H16" s="25"/>
      <x:c r="I16" s="25"/>
      <x:c r="J16" s="25"/>
      <x:c r="K16" s="25"/>
      <x:c r="L16" s="25"/>
      <x:c r="M16" s="25"/>
      <x:c r="N16" s="25"/>
    </x:row>
    <x:row r="17">
      <x:c r="A17" s="25"/>
      <x:c r="B17" s="25"/>
      <x:c r="C17" s="25"/>
      <x:c r="D17" s="25"/>
      <x:c r="E17" s="25"/>
      <x:c r="F17" s="25"/>
      <x:c r="G17" s="25"/>
      <x:c r="H17" s="25"/>
      <x:c r="I17" s="25"/>
      <x:c r="J17" s="25"/>
      <x:c r="K17" s="25"/>
      <x:c r="L17" s="25"/>
      <x:c r="M17" s="25"/>
      <x:c r="N17" s="25"/>
    </x:row>
    <x:row r="18">
      <x:c r="A18" s="25"/>
      <x:c r="B18" s="25"/>
      <x:c r="C18" s="25"/>
      <x:c r="D18" s="25"/>
      <x:c r="E18" s="25"/>
      <x:c r="F18" s="25"/>
      <x:c r="G18" s="25"/>
      <x:c r="H18" s="25"/>
      <x:c r="I18" s="25"/>
      <x:c r="J18" s="25"/>
      <x:c r="K18" s="25"/>
      <x:c r="L18" s="25"/>
      <x:c r="M18" s="25"/>
      <x:c r="N18" s="25"/>
    </x:row>
    <x:row r="19">
      <x:c r="A19" s="25"/>
      <x:c r="B19" s="25"/>
      <x:c r="C19" s="25"/>
      <x:c r="D19" s="25"/>
      <x:c r="E19" s="25"/>
      <x:c r="F19" s="25"/>
      <x:c r="G19" s="25"/>
      <x:c r="H19" s="25"/>
      <x:c r="I19" s="25"/>
      <x:c r="J19" s="25"/>
      <x:c r="K19" s="25"/>
      <x:c r="L19" s="25"/>
      <x:c r="M19" s="25"/>
      <x:c r="N19" s="25"/>
    </x:row>
    <x:row r="20">
      <x:c r="A20" s="25"/>
      <x:c r="B20" s="25"/>
      <x:c r="C20" s="25"/>
      <x:c r="D20" s="25"/>
      <x:c r="E20" s="25"/>
      <x:c r="F20" s="25"/>
      <x:c r="G20" s="25"/>
      <x:c r="H20" s="25"/>
      <x:c r="I20" s="25"/>
      <x:c r="J20" s="25"/>
      <x:c r="K20" s="25"/>
      <x:c r="L20" s="25"/>
      <x:c r="M20" s="25"/>
      <x:c r="N20" s="25"/>
    </x:row>
    <x:row r="21">
      <x:c r="A21" s="25"/>
      <x:c r="B21" s="25"/>
      <x:c r="C21" s="25"/>
      <x:c r="D21" s="25"/>
      <x:c r="E21" s="25"/>
      <x:c r="F21" s="25"/>
      <x:c r="G21" s="25"/>
      <x:c r="H21" s="25"/>
      <x:c r="I21" s="25"/>
      <x:c r="J21" s="25"/>
      <x:c r="K21" s="25"/>
      <x:c r="L21" s="25"/>
      <x:c r="M21" s="25"/>
      <x:c r="N21" s="25"/>
    </x:row>
    <x:row r="22">
      <x:c r="A22" s="25"/>
      <x:c r="B22" s="25"/>
      <x:c r="C22" s="25"/>
      <x:c r="D22" s="25"/>
      <x:c r="E22" s="25"/>
      <x:c r="F22" s="25"/>
      <x:c r="G22" s="25"/>
      <x:c r="H22" s="25"/>
      <x:c r="I22" s="25"/>
      <x:c r="J22" s="25"/>
      <x:c r="K22" s="25"/>
      <x:c r="L22" s="25"/>
      <x:c r="M22" s="25"/>
      <x:c r="N22" s="25"/>
    </x:row>
    <x:row r="23">
      <x:c r="A23" s="25"/>
      <x:c r="B23" s="25"/>
      <x:c r="C23" s="25"/>
      <x:c r="D23" s="25"/>
      <x:c r="E23" s="25"/>
      <x:c r="F23" s="25"/>
      <x:c r="G23" s="25"/>
      <x:c r="H23" s="25"/>
      <x:c r="I23" s="25"/>
      <x:c r="J23" s="25"/>
      <x:c r="K23" s="25"/>
      <x:c r="L23" s="25"/>
      <x:c r="M23" s="25"/>
      <x:c r="N23" s="25"/>
    </x:row>
    <x:row r="24">
      <x:c r="A24" s="25"/>
      <x:c r="B24" s="25"/>
      <x:c r="C24" s="25"/>
      <x:c r="D24" s="25"/>
      <x:c r="E24" s="25"/>
      <x:c r="F24" s="25"/>
      <x:c r="G24" s="25"/>
      <x:c r="H24" s="25"/>
      <x:c r="I24" s="25"/>
      <x:c r="J24" s="25"/>
      <x:c r="K24" s="25"/>
      <x:c r="L24" s="25"/>
      <x:c r="M24" s="25"/>
      <x:c r="N24" s="25"/>
    </x:row>
    <x:row r="25">
      <x:c r="A25" s="25"/>
      <x:c r="B25" s="25"/>
      <x:c r="C25" s="25"/>
      <x:c r="D25" s="25"/>
      <x:c r="E25" s="25"/>
      <x:c r="F25" s="25"/>
      <x:c r="G25" s="25"/>
      <x:c r="H25" s="25"/>
      <x:c r="I25" s="25"/>
      <x:c r="J25" s="25"/>
      <x:c r="K25" s="25"/>
      <x:c r="L25" s="25"/>
      <x:c r="M25" s="25"/>
      <x:c r="N25" s="25"/>
    </x:row>
    <x:row r="26">
      <x:c r="A26" s="25"/>
      <x:c r="B26" s="25"/>
      <x:c r="C26" s="25"/>
      <x:c r="D26" s="25"/>
      <x:c r="E26" s="25"/>
      <x:c r="F26" s="25"/>
      <x:c r="G26" s="25"/>
      <x:c r="H26" s="25"/>
      <x:c r="I26" s="25"/>
      <x:c r="J26" s="25"/>
      <x:c r="K26" s="25"/>
      <x:c r="L26" s="25"/>
      <x:c r="M26" s="25"/>
      <x:c r="N26" s="25"/>
    </x:row>
    <x:row r="27">
      <x:c r="A27" s="25"/>
      <x:c r="B27" s="25"/>
      <x:c r="C27" s="25"/>
      <x:c r="D27" s="25"/>
      <x:c r="E27" s="25"/>
      <x:c r="F27" s="25"/>
      <x:c r="G27" s="25"/>
      <x:c r="H27" s="25"/>
      <x:c r="I27" s="25"/>
      <x:c r="J27" s="25"/>
      <x:c r="K27" s="25"/>
      <x:c r="L27" s="25"/>
      <x:c r="M27" s="25"/>
      <x:c r="N27" s="25"/>
    </x:row>
    <x:row r="28">
      <x:c r="A28" s="25"/>
      <x:c r="B28" s="25"/>
      <x:c r="C28" s="25"/>
      <x:c r="D28" s="25"/>
      <x:c r="E28" s="25"/>
      <x:c r="F28" s="25"/>
      <x:c r="G28" s="25"/>
      <x:c r="H28" s="25"/>
      <x:c r="I28" s="25"/>
      <x:c r="J28" s="25"/>
      <x:c r="K28" s="25"/>
      <x:c r="L28" s="25"/>
      <x:c r="M28" s="25"/>
      <x:c r="N28" s="25"/>
    </x:row>
    <x:row r="29">
      <x:c r="A29" s="25"/>
      <x:c r="B29" s="25"/>
      <x:c r="C29" s="25"/>
      <x:c r="D29" s="25"/>
      <x:c r="E29" s="25"/>
      <x:c r="F29" s="25"/>
      <x:c r="G29" s="25"/>
      <x:c r="H29" s="25"/>
      <x:c r="I29" s="25"/>
      <x:c r="J29" s="25"/>
      <x:c r="K29" s="25"/>
      <x:c r="L29" s="25"/>
      <x:c r="M29" s="25"/>
      <x:c r="N29" s="25"/>
    </x:row>
    <x:row r="30">
      <x:c r="A30" s="25"/>
      <x:c r="B30" s="25"/>
      <x:c r="C30" s="25"/>
      <x:c r="D30" s="25"/>
      <x:c r="E30" s="25"/>
      <x:c r="F30" s="25"/>
      <x:c r="G30" s="25"/>
      <x:c r="H30" s="25"/>
      <x:c r="I30" s="25"/>
      <x:c r="J30" s="25"/>
      <x:c r="K30" s="25"/>
      <x:c r="L30" s="25"/>
      <x:c r="M30" s="25"/>
      <x:c r="N30" s="25"/>
    </x:row>
    <x:row r="31">
      <x:c r="A31" s="25"/>
      <x:c r="B31" s="25"/>
      <x:c r="C31" s="25"/>
      <x:c r="D31" s="25"/>
      <x:c r="E31" s="25"/>
      <x:c r="F31" s="25"/>
      <x:c r="G31" s="25"/>
      <x:c r="H31" s="25"/>
      <x:c r="I31" s="25"/>
      <x:c r="J31" s="25"/>
      <x:c r="K31" s="25"/>
      <x:c r="L31" s="25"/>
      <x:c r="M31" s="25"/>
      <x:c r="N31" s="25"/>
    </x:row>
    <x:row r="32">
      <x:c r="A32" s="25"/>
      <x:c r="B32" s="25"/>
      <x:c r="C32" s="25"/>
      <x:c r="D32" s="25"/>
      <x:c r="E32" s="25"/>
      <x:c r="F32" s="25"/>
      <x:c r="G32" s="25"/>
      <x:c r="H32" s="25"/>
      <x:c r="I32" s="25"/>
      <x:c r="J32" s="25"/>
      <x:c r="K32" s="25"/>
      <x:c r="L32" s="25"/>
      <x:c r="M32" s="25"/>
      <x:c r="N32" s="25"/>
    </x:row>
    <x:row r="33">
      <x:c r="A33" s="25"/>
      <x:c r="B33" s="25"/>
      <x:c r="C33" s="25"/>
      <x:c r="D33" s="25"/>
      <x:c r="E33" s="25"/>
      <x:c r="F33" s="25"/>
      <x:c r="G33" s="25"/>
      <x:c r="H33" s="25"/>
      <x:c r="I33" s="25"/>
      <x:c r="J33" s="25"/>
      <x:c r="K33" s="25"/>
      <x:c r="L33" s="25"/>
      <x:c r="M33" s="25"/>
      <x:c r="N33" s="25"/>
    </x:row>
    <x:row r="34">
      <x:c r="A34" s="25"/>
      <x:c r="B34" s="25"/>
      <x:c r="C34" s="25"/>
      <x:c r="D34" s="25"/>
      <x:c r="E34" s="25"/>
      <x:c r="F34" s="25"/>
      <x:c r="G34" s="25"/>
      <x:c r="H34" s="25"/>
      <x:c r="I34" s="25"/>
      <x:c r="J34" s="25"/>
      <x:c r="K34" s="25"/>
      <x:c r="L34" s="25"/>
      <x:c r="M34" s="25"/>
      <x:c r="N34" s="25"/>
    </x:row>
    <x:row r="35">
      <x:c r="A35" s="25"/>
      <x:c r="B35" s="25"/>
      <x:c r="C35" s="25"/>
      <x:c r="D35" s="25"/>
      <x:c r="E35" s="25"/>
      <x:c r="F35" s="25"/>
      <x:c r="G35" s="25"/>
      <x:c r="H35" s="25"/>
      <x:c r="I35" s="25"/>
      <x:c r="J35" s="25"/>
      <x:c r="K35" s="25"/>
      <x:c r="L35" s="25"/>
      <x:c r="M35" s="25"/>
      <x:c r="N35" s="25"/>
    </x:row>
    <x:row r="36">
      <x:c r="A36" s="25"/>
      <x:c r="B36" s="25"/>
      <x:c r="C36" s="25"/>
      <x:c r="D36" s="25"/>
      <x:c r="E36" s="25"/>
      <x:c r="F36" s="25"/>
      <x:c r="G36" s="25"/>
      <x:c r="H36" s="25"/>
      <x:c r="I36" s="25"/>
      <x:c r="J36" s="25"/>
      <x:c r="K36" s="25"/>
      <x:c r="L36" s="25"/>
      <x:c r="M36" s="25"/>
      <x:c r="N36" s="25"/>
    </x:row>
    <x:row r="37">
      <x:c r="A37" s="25"/>
      <x:c r="B37" s="25"/>
      <x:c r="C37" s="25"/>
      <x:c r="D37" s="25"/>
      <x:c r="E37" s="25"/>
      <x:c r="F37" s="25"/>
      <x:c r="G37" s="25"/>
      <x:c r="H37" s="25"/>
      <x:c r="I37" s="25"/>
      <x:c r="J37" s="25"/>
      <x:c r="K37" s="25"/>
      <x:c r="L37" s="25"/>
      <x:c r="M37" s="25"/>
      <x:c r="N37" s="25"/>
    </x:row>
    <x:row r="38">
      <x:c r="A38" s="25"/>
      <x:c r="B38" s="25"/>
      <x:c r="C38" s="25"/>
      <x:c r="D38" s="25"/>
      <x:c r="E38" s="25"/>
      <x:c r="F38" s="25"/>
      <x:c r="G38" s="25"/>
      <x:c r="H38" s="25"/>
      <x:c r="I38" s="25"/>
      <x:c r="J38" s="25"/>
      <x:c r="K38" s="25"/>
      <x:c r="L38" s="25"/>
      <x:c r="M38" s="25"/>
      <x:c r="N38" s="25"/>
    </x:row>
    <x:row r="39">
      <x:c r="A39" s="25"/>
      <x:c r="B39" s="25"/>
      <x:c r="C39" s="25"/>
      <x:c r="D39" s="25"/>
      <x:c r="E39" s="25"/>
      <x:c r="F39" s="25"/>
      <x:c r="G39" s="25"/>
      <x:c r="H39" s="25"/>
      <x:c r="I39" s="25"/>
      <x:c r="J39" s="25"/>
      <x:c r="K39" s="25"/>
      <x:c r="L39" s="25"/>
      <x:c r="M39" s="25"/>
      <x:c r="N39" s="25"/>
    </x:row>
    <x:row r="40">
      <x:c r="A40" s="25"/>
      <x:c r="B40" s="25"/>
      <x:c r="C40" s="25"/>
      <x:c r="D40" s="25"/>
      <x:c r="E40" s="25"/>
      <x:c r="F40" s="25"/>
      <x:c r="G40" s="25"/>
      <x:c r="H40" s="25"/>
      <x:c r="I40" s="25"/>
      <x:c r="J40" s="25"/>
      <x:c r="K40" s="25"/>
      <x:c r="L40" s="25"/>
      <x:c r="M40" s="25"/>
      <x:c r="N40" s="25"/>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A1" s="71" t="str">
        <x:v>Pricing Scenario Model — PR-CHO-4</x:v>
      </x:c>
      <x:c r="B1" s="71"/>
      <x:c r="C1" s="71"/>
      <x:c r="D1" s="71"/>
      <x:c r="E1" s="71"/>
      <x:c r="F1" s="71"/>
      <x:c r="G1" s="71"/>
      <x:c r="H1" s="71"/>
      <x:c r="I1" s="25"/>
      <x:c r="J1" s="25"/>
      <x:c r="K1" s="25"/>
      <x:c r="L1" s="25"/>
      <x:c r="M1" s="25"/>
      <x:c r="N1" s="25"/>
    </x:row>
    <x:row r="2">
      <x:c r="A2" s="25"/>
      <x:c r="B2" s="25"/>
      <x:c r="C2" s="25"/>
      <x:c r="D2" s="25"/>
      <x:c r="E2" s="25"/>
      <x:c r="F2" s="25"/>
      <x:c r="G2" s="25"/>
      <x:c r="H2" s="25"/>
      <x:c r="I2" s="25"/>
      <x:c r="J2" s="75" t="str">
        <x:v>Interpretation</x:v>
      </x:c>
      <x:c r="K2" s="75"/>
      <x:c r="L2" s="75"/>
      <x:c r="M2" s="75"/>
      <x:c r="N2" s="75"/>
    </x:row>
    <x:row r="3">
      <x:c r="A3" s="58" t="str">
        <x:v>Scenario</x:v>
      </x:c>
      <x:c r="B3" s="58" t="str">
        <x:v>Price Change</x:v>
      </x:c>
      <x:c r="C3" s="58" t="str">
        <x:v>Scenario Price ($)</x:v>
      </x:c>
      <x:c r="D3" s="58" t="str">
        <x:v>Expected Units</x:v>
      </x:c>
      <x:c r="E3" s="58" t="str">
        <x:v>Revenue ($)</x:v>
      </x:c>
      <x:c r="F3" s="58" t="str">
        <x:v>Gross Profit ($)</x:v>
      </x:c>
      <x:c r="G3" s="58" t="str">
        <x:v>Gross Margin</x:v>
      </x:c>
      <x:c r="H3" s="58" t="str">
        <x:v>Price vs Competitor</x:v>
      </x:c>
      <x:c r="I3" s="25"/>
      <x:c r="J3" s="26" t="str">
        <x:v>Use the blue Price Change cells to test scenarios. The model converts price changes into expected volume using the explicit elasticity assumption on the Inputs sheet. Revenue and gross profit are formula-driven. In the simulated case, modest price increases improve gross profit; real deployment would require elasticity validation, customer constraints, and competitive response testing.</x:v>
      </x:c>
      <x:c r="K3" s="26"/>
      <x:c r="L3" s="26"/>
      <x:c r="M3" s="26"/>
      <x:c r="N3" s="26"/>
    </x:row>
    <x:row r="4">
      <x:c r="A4" s="25" t="str">
        <x:v>-3% Price</x:v>
      </x:c>
      <x:c r="B4" s="81" t="n">
        <x:v>-0.03</x:v>
      </x:c>
      <x:c r="C4" s="82" t="n">
        <x:f>Inputs!$B$6*(1+B4)</x:f>
        <x:v>12.001666139218543</x:v>
      </x:c>
      <x:c r="D4" s="83" t="n">
        <x:f>Inputs!$B$5*(1+Inputs!$B$9*B4)</x:f>
        <x:v>103586.30099999999</x:v>
      </x:c>
      <x:c r="E4" s="84" t="n">
        <x:f>C4*D4</x:f>
        <x:v>1243208.2011985998</x:v>
      </x:c>
      <x:c r="F4" s="84" t="n">
        <x:f>(C4-Inputs!$B$8)*D4</x:f>
        <x:v>657945.6005485997</x:v>
      </x:c>
      <x:c r="G4" s="85" t="n">
        <x:f>F4/E4</x:f>
        <x:v>0.5292320304147465</x:v>
      </x:c>
      <x:c r="H4" s="85" t="n">
        <x:f>C4/Inputs!$B$7-1</x:f>
        <x:v>-0.05343712257483768</x:v>
      </x:c>
      <x:c r="I4" s="25"/>
      <x:c r="J4" s="26"/>
      <x:c r="K4" s="26"/>
      <x:c r="L4" s="26"/>
      <x:c r="M4" s="26"/>
      <x:c r="N4" s="26"/>
    </x:row>
    <x:row r="5">
      <x:c r="A5" s="25" t="str">
        <x:v>Current</x:v>
      </x:c>
      <x:c r="B5" s="81" t="n">
        <x:v>0</x:v>
      </x:c>
      <x:c r="C5" s="82" t="n">
        <x:f>Inputs!$B$6*(1+B5)</x:f>
        <x:v>12.372851689916024</x:v>
      </x:c>
      <x:c r="D5" s="83" t="n">
        <x:f>Inputs!$B$5*(1+Inputs!$B$9*B5)</x:f>
        <x:v>100863</x:v>
      </x:c>
      <x:c r="E5" s="84" t="n">
        <x:f>C5*D5</x:f>
        <x:v>1247962.94</x:v>
      </x:c>
      <x:c r="F5" s="84" t="n">
        <x:f>(C5-Inputs!$B$8)*D5</x:f>
        <x:v>678086.9899999999</x:v>
      </x:c>
      <x:c r="G5" s="85" t="n">
        <x:f>F5/E5</x:f>
        <x:v>0.5433550695023042</x:v>
      </x:c>
      <x:c r="H5" s="85" t="n">
        <x:f>C5/Inputs!$B$7-1</x:f>
        <x:v>-0.02416198203591513</x:v>
      </x:c>
      <x:c r="I5" s="25"/>
      <x:c r="J5" s="26"/>
      <x:c r="K5" s="26"/>
      <x:c r="L5" s="26"/>
      <x:c r="M5" s="26"/>
      <x:c r="N5" s="26"/>
    </x:row>
    <x:row r="6">
      <x:c r="A6" s="25" t="str">
        <x:v>+2% Price</x:v>
      </x:c>
      <x:c r="B6" s="81" t="n">
        <x:v>0.02</x:v>
      </x:c>
      <x:c r="C6" s="82" t="n">
        <x:f>Inputs!$B$6*(1+B6)</x:f>
        <x:v>12.620308723714345</x:v>
      </x:c>
      <x:c r="D6" s="83" t="n">
        <x:f>Inputs!$B$5*(1+Inputs!$B$9*B6)</x:f>
        <x:v>99047.466</x:v>
      </x:c>
      <x:c r="E6" s="84" t="n">
        <x:f>C6*D6</x:f>
        <x:v>1250009.5992216</x:v>
      </x:c>
      <x:c r="F6" s="84" t="n">
        <x:f>(C6-Inputs!$B$8)*D6</x:f>
        <x:v>690391.4163216</x:v>
      </x:c>
      <x:c r="G6" s="85" t="n">
        <x:f>F6/E6</x:f>
        <x:v>0.5523088916689257</x:v>
      </x:c>
      <x:c r="H6" s="85" t="n">
        <x:f>C6/Inputs!$B$7-1</x:f>
        <x:v>-0.004645221676633393</x:v>
      </x:c>
      <x:c r="I6" s="25"/>
      <x:c r="J6" s="26"/>
      <x:c r="K6" s="26"/>
      <x:c r="L6" s="26"/>
      <x:c r="M6" s="26"/>
      <x:c r="N6" s="26"/>
    </x:row>
    <x:row r="7">
      <x:c r="A7" s="25" t="str">
        <x:v>+3% Price</x:v>
      </x:c>
      <x:c r="B7" s="81" t="n">
        <x:v>0.03</x:v>
      </x:c>
      <x:c r="C7" s="82" t="n">
        <x:f>Inputs!$B$6*(1+B7)</x:f>
        <x:v>12.744037240613505</x:v>
      </x:c>
      <x:c r="D7" s="83" t="n">
        <x:f>Inputs!$B$5*(1+Inputs!$B$9*B7)</x:f>
        <x:v>98139.699</x:v>
      </x:c>
      <x:c r="E7" s="84" t="n">
        <x:f>C7*D7</x:f>
        <x:v>1250695.9788385998</x:v>
      </x:c>
      <x:c r="F7" s="84" t="n">
        <x:f>(C7-Inputs!$B$8)*D7</x:f>
        <x:v>696206.6794885999</x:v>
      </x:c>
      <x:c r="G7" s="85" t="n">
        <x:f>F7/E7</x:f>
        <x:v>0.5566554072837906</x:v>
      </x:c>
      <x:c r="H7" s="85" t="n">
        <x:f>C7/Inputs!$B$7-1</x:f>
        <x:v>0.005113158503007531</x:v>
      </x:c>
      <x:c r="I7" s="25"/>
      <x:c r="J7" s="26"/>
      <x:c r="K7" s="26"/>
      <x:c r="L7" s="26"/>
      <x:c r="M7" s="26"/>
      <x:c r="N7" s="26"/>
    </x:row>
    <x:row r="8">
      <x:c r="A8" s="25" t="str">
        <x:v>+5% Price</x:v>
      </x:c>
      <x:c r="B8" s="81" t="n">
        <x:v>0.05</x:v>
      </x:c>
      <x:c r="C8" s="82" t="n">
        <x:f>Inputs!$B$6*(1+B8)</x:f>
        <x:v>12.991494274411826</x:v>
      </x:c>
      <x:c r="D8" s="83" t="n">
        <x:f>Inputs!$B$5*(1+Inputs!$B$9*B8)</x:f>
        <x:v>96324.165</x:v>
      </x:c>
      <x:c r="E8" s="84" t="n">
        <x:f>C8*D8</x:f>
        <x:v>1251394.838085</x:v>
      </x:c>
      <x:c r="F8" s="84" t="n">
        <x:f>(C8-Inputs!$B$8)*D8</x:f>
        <x:v>707163.3058349999</x:v>
      </x:c>
      <x:c r="G8" s="85" t="n">
        <x:f>F8/E8</x:f>
        <x:v>0.5651000661926707</x:v>
      </x:c>
      <x:c r="H8" s="85" t="n">
        <x:f>C8/Inputs!$B$7-1</x:f>
        <x:v>0.024629918862289157</x:v>
      </x:c>
      <x:c r="I8" s="25"/>
      <x:c r="J8" s="26"/>
      <x:c r="K8" s="26"/>
      <x:c r="L8" s="26"/>
      <x:c r="M8" s="26"/>
      <x:c r="N8" s="26"/>
    </x:row>
    <x:row r="9">
      <x:c r="A9" s="25"/>
      <x:c r="B9" s="25"/>
      <x:c r="C9" s="25"/>
      <x:c r="D9" s="25"/>
      <x:c r="E9" s="25"/>
      <x:c r="F9" s="25"/>
      <x:c r="G9" s="25"/>
      <x:c r="H9" s="25"/>
      <x:c r="I9" s="25"/>
      <x:c r="J9" s="25"/>
      <x:c r="K9" s="25"/>
      <x:c r="L9" s="25"/>
      <x:c r="M9" s="25"/>
      <x:c r="N9" s="25"/>
    </x:row>
    <x:row r="10">
      <x:c r="A10" s="25"/>
      <x:c r="B10" s="25"/>
      <x:c r="C10" s="25"/>
      <x:c r="D10" s="25"/>
      <x:c r="E10" s="25"/>
      <x:c r="F10" s="25"/>
      <x:c r="G10" s="25"/>
      <x:c r="H10" s="25"/>
      <x:c r="I10" s="25"/>
      <x:c r="J10" s="25"/>
      <x:c r="K10" s="25"/>
      <x:c r="L10" s="25"/>
      <x:c r="M10" s="25"/>
      <x:c r="N10" s="25"/>
    </x:row>
    <x:row r="11">
      <x:c r="A11" s="25"/>
      <x:c r="B11" s="25"/>
      <x:c r="C11" s="25"/>
      <x:c r="D11" s="25"/>
      <x:c r="E11" s="25"/>
      <x:c r="F11" s="25"/>
      <x:c r="G11" s="25"/>
      <x:c r="H11" s="25"/>
      <x:c r="I11" s="25"/>
      <x:c r="J11" s="25"/>
      <x:c r="K11" s="25"/>
      <x:c r="L11" s="25"/>
      <x:c r="M11" s="25"/>
      <x:c r="N11" s="25"/>
    </x:row>
    <x:row r="12">
      <x:c r="A12" s="25"/>
      <x:c r="B12" s="25"/>
      <x:c r="C12" s="25"/>
      <x:c r="D12" s="25"/>
      <x:c r="E12" s="25"/>
      <x:c r="F12" s="25"/>
      <x:c r="G12" s="25"/>
      <x:c r="H12" s="25"/>
      <x:c r="I12" s="25"/>
      <x:c r="J12" s="25"/>
      <x:c r="K12" s="25"/>
      <x:c r="L12" s="25"/>
      <x:c r="M12" s="25"/>
      <x:c r="N12" s="25"/>
    </x:row>
    <x:row r="13">
      <x:c r="A13" s="25"/>
      <x:c r="B13" s="25"/>
      <x:c r="C13" s="25"/>
      <x:c r="D13" s="25"/>
      <x:c r="E13" s="25"/>
      <x:c r="F13" s="25"/>
      <x:c r="G13" s="25"/>
      <x:c r="H13" s="25"/>
      <x:c r="I13" s="25"/>
      <x:c r="J13" s="25"/>
      <x:c r="K13" s="25"/>
      <x:c r="L13" s="25"/>
      <x:c r="M13" s="25"/>
      <x:c r="N13" s="25"/>
    </x:row>
    <x:row r="14">
      <x:c r="A14" s="25"/>
      <x:c r="B14" s="25"/>
      <x:c r="C14" s="25"/>
      <x:c r="D14" s="25"/>
      <x:c r="E14" s="25"/>
      <x:c r="F14" s="25"/>
      <x:c r="G14" s="25"/>
      <x:c r="H14" s="25"/>
      <x:c r="I14" s="25"/>
      <x:c r="J14" s="25"/>
      <x:c r="K14" s="25"/>
      <x:c r="L14" s="25"/>
      <x:c r="M14" s="25"/>
      <x:c r="N14" s="25"/>
    </x:row>
    <x:row r="15">
      <x:c r="A15" s="25"/>
      <x:c r="B15" s="25"/>
      <x:c r="C15" s="25"/>
      <x:c r="D15" s="25"/>
      <x:c r="E15" s="25"/>
      <x:c r="F15" s="25"/>
      <x:c r="G15" s="25"/>
      <x:c r="H15" s="25"/>
      <x:c r="I15" s="25"/>
      <x:c r="J15" s="25"/>
      <x:c r="K15" s="25"/>
      <x:c r="L15" s="25"/>
      <x:c r="M15" s="25"/>
      <x:c r="N15" s="25"/>
    </x:row>
    <x:row r="16">
      <x:c r="A16" s="25"/>
      <x:c r="B16" s="25"/>
      <x:c r="C16" s="25"/>
      <x:c r="D16" s="25"/>
      <x:c r="E16" s="25"/>
      <x:c r="F16" s="25"/>
      <x:c r="G16" s="25"/>
      <x:c r="H16" s="25"/>
      <x:c r="I16" s="25"/>
      <x:c r="J16" s="25"/>
      <x:c r="K16" s="25"/>
      <x:c r="L16" s="25"/>
      <x:c r="M16" s="25"/>
      <x:c r="N16" s="25"/>
    </x:row>
    <x:row r="17">
      <x:c r="A17" s="25"/>
      <x:c r="B17" s="25"/>
      <x:c r="C17" s="25"/>
      <x:c r="D17" s="25"/>
      <x:c r="E17" s="25"/>
      <x:c r="F17" s="25"/>
      <x:c r="G17" s="25"/>
      <x:c r="H17" s="25"/>
      <x:c r="I17" s="25"/>
      <x:c r="J17" s="25"/>
      <x:c r="K17" s="25"/>
      <x:c r="L17" s="25"/>
      <x:c r="M17" s="25"/>
      <x:c r="N17" s="25"/>
    </x:row>
    <x:row r="18">
      <x:c r="A18" s="25"/>
      <x:c r="B18" s="25"/>
      <x:c r="C18" s="25"/>
      <x:c r="D18" s="25"/>
      <x:c r="E18" s="25"/>
      <x:c r="F18" s="25"/>
      <x:c r="G18" s="25"/>
      <x:c r="H18" s="25"/>
      <x:c r="I18" s="25"/>
      <x:c r="J18" s="25"/>
      <x:c r="K18" s="25"/>
      <x:c r="L18" s="25"/>
      <x:c r="M18" s="25"/>
      <x:c r="N18" s="25"/>
    </x:row>
    <x:row r="19">
      <x:c r="A19" s="25"/>
      <x:c r="B19" s="25"/>
      <x:c r="C19" s="25"/>
      <x:c r="D19" s="25"/>
      <x:c r="E19" s="25"/>
      <x:c r="F19" s="25"/>
      <x:c r="G19" s="25"/>
      <x:c r="H19" s="25"/>
      <x:c r="I19" s="25"/>
      <x:c r="J19" s="25"/>
      <x:c r="K19" s="25"/>
      <x:c r="L19" s="25"/>
      <x:c r="M19" s="25"/>
      <x:c r="N19" s="25"/>
    </x:row>
    <x:row r="20">
      <x:c r="A20" s="25"/>
      <x:c r="B20" s="25"/>
      <x:c r="C20" s="25"/>
      <x:c r="D20" s="25"/>
      <x:c r="E20" s="25"/>
      <x:c r="F20" s="25"/>
      <x:c r="G20" s="25"/>
      <x:c r="H20" s="25"/>
      <x:c r="I20" s="25"/>
      <x:c r="J20" s="25"/>
      <x:c r="K20" s="25"/>
      <x:c r="L20" s="25"/>
      <x:c r="M20" s="25"/>
      <x:c r="N20" s="25"/>
    </x:row>
    <x:row r="21">
      <x:c r="A21" s="25"/>
      <x:c r="B21" s="25"/>
      <x:c r="C21" s="25"/>
      <x:c r="D21" s="25"/>
      <x:c r="E21" s="25"/>
      <x:c r="F21" s="25"/>
      <x:c r="G21" s="25"/>
      <x:c r="H21" s="25"/>
      <x:c r="I21" s="25"/>
      <x:c r="J21" s="25"/>
      <x:c r="K21" s="25"/>
      <x:c r="L21" s="25"/>
      <x:c r="M21" s="25"/>
      <x:c r="N21" s="25"/>
    </x:row>
    <x:row r="22">
      <x:c r="A22" s="25"/>
      <x:c r="B22" s="25"/>
      <x:c r="C22" s="25"/>
      <x:c r="D22" s="25"/>
      <x:c r="E22" s="25"/>
      <x:c r="F22" s="25"/>
      <x:c r="G22" s="25"/>
      <x:c r="H22" s="25"/>
      <x:c r="I22" s="25"/>
      <x:c r="J22" s="25"/>
      <x:c r="K22" s="25"/>
      <x:c r="L22" s="25"/>
      <x:c r="M22" s="25"/>
      <x:c r="N22" s="25"/>
    </x:row>
    <x:row r="23">
      <x:c r="A23" s="25"/>
      <x:c r="B23" s="25"/>
      <x:c r="C23" s="25"/>
      <x:c r="D23" s="25"/>
      <x:c r="E23" s="25"/>
      <x:c r="F23" s="25"/>
      <x:c r="G23" s="25"/>
      <x:c r="H23" s="25"/>
      <x:c r="I23" s="25"/>
      <x:c r="J23" s="25"/>
      <x:c r="K23" s="25"/>
      <x:c r="L23" s="25"/>
      <x:c r="M23" s="25"/>
      <x:c r="N23" s="25"/>
    </x:row>
    <x:row r="24">
      <x:c r="A24" s="25"/>
      <x:c r="B24" s="25"/>
      <x:c r="C24" s="25"/>
      <x:c r="D24" s="25"/>
      <x:c r="E24" s="25"/>
      <x:c r="F24" s="25"/>
      <x:c r="G24" s="25"/>
      <x:c r="H24" s="25"/>
      <x:c r="I24" s="25"/>
      <x:c r="J24" s="25"/>
      <x:c r="K24" s="25"/>
      <x:c r="L24" s="25"/>
      <x:c r="M24" s="25"/>
      <x:c r="N24" s="25"/>
    </x:row>
    <x:row r="25">
      <x:c r="A25" s="25"/>
      <x:c r="B25" s="25"/>
      <x:c r="C25" s="25"/>
      <x:c r="D25" s="25"/>
      <x:c r="E25" s="25"/>
      <x:c r="F25" s="25"/>
      <x:c r="G25" s="25"/>
      <x:c r="H25" s="25"/>
      <x:c r="I25" s="25"/>
      <x:c r="J25" s="25"/>
      <x:c r="K25" s="25"/>
      <x:c r="L25" s="25"/>
      <x:c r="M25" s="25"/>
      <x:c r="N25" s="25"/>
    </x:row>
    <x:row r="26">
      <x:c r="A26" s="25"/>
      <x:c r="B26" s="25"/>
      <x:c r="C26" s="25"/>
      <x:c r="D26" s="25"/>
      <x:c r="E26" s="25"/>
      <x:c r="F26" s="25"/>
      <x:c r="G26" s="25"/>
      <x:c r="H26" s="25"/>
      <x:c r="I26" s="25"/>
      <x:c r="J26" s="25"/>
      <x:c r="K26" s="25"/>
      <x:c r="L26" s="25"/>
      <x:c r="M26" s="25"/>
      <x:c r="N26" s="25"/>
    </x:row>
    <x:row r="27">
      <x:c r="A27" s="25"/>
      <x:c r="B27" s="25"/>
      <x:c r="C27" s="25"/>
      <x:c r="D27" s="25"/>
      <x:c r="E27" s="25"/>
      <x:c r="F27" s="25"/>
      <x:c r="G27" s="25"/>
      <x:c r="H27" s="25"/>
      <x:c r="I27" s="25"/>
      <x:c r="J27" s="25"/>
      <x:c r="K27" s="25"/>
      <x:c r="L27" s="25"/>
      <x:c r="M27" s="25"/>
      <x:c r="N27" s="25"/>
    </x:row>
    <x:row r="28">
      <x:c r="A28" s="25"/>
      <x:c r="B28" s="25"/>
      <x:c r="C28" s="25"/>
      <x:c r="D28" s="25"/>
      <x:c r="E28" s="25"/>
      <x:c r="F28" s="25"/>
      <x:c r="G28" s="25"/>
      <x:c r="H28" s="25"/>
      <x:c r="I28" s="25"/>
      <x:c r="J28" s="25"/>
      <x:c r="K28" s="25"/>
      <x:c r="L28" s="25"/>
      <x:c r="M28" s="25"/>
      <x:c r="N28" s="25"/>
    </x:row>
    <x:row r="29">
      <x:c r="A29" s="25"/>
      <x:c r="B29" s="25"/>
      <x:c r="C29" s="25"/>
      <x:c r="D29" s="25"/>
      <x:c r="E29" s="25"/>
      <x:c r="F29" s="25"/>
      <x:c r="G29" s="25"/>
      <x:c r="H29" s="25"/>
      <x:c r="I29" s="25"/>
      <x:c r="J29" s="25"/>
      <x:c r="K29" s="25"/>
      <x:c r="L29" s="25"/>
      <x:c r="M29" s="25"/>
      <x:c r="N29" s="25"/>
    </x:row>
    <x:row r="30">
      <x:c r="A30" s="25"/>
      <x:c r="B30" s="25"/>
      <x:c r="C30" s="25"/>
      <x:c r="D30" s="25"/>
      <x:c r="E30" s="25"/>
      <x:c r="F30" s="25"/>
      <x:c r="G30" s="25"/>
      <x:c r="H30" s="25"/>
      <x:c r="I30" s="25"/>
      <x:c r="J30" s="25"/>
      <x:c r="K30" s="25"/>
      <x:c r="L30" s="25"/>
      <x:c r="M30" s="25"/>
      <x:c r="N30" s="25"/>
    </x:row>
    <x:row r="31">
      <x:c r="A31" s="25"/>
      <x:c r="B31" s="25"/>
      <x:c r="C31" s="25"/>
      <x:c r="D31" s="25"/>
      <x:c r="E31" s="25"/>
      <x:c r="F31" s="25"/>
      <x:c r="G31" s="25"/>
      <x:c r="H31" s="25"/>
      <x:c r="I31" s="25"/>
      <x:c r="J31" s="25"/>
      <x:c r="K31" s="25"/>
      <x:c r="L31" s="25"/>
      <x:c r="M31" s="25"/>
      <x:c r="N31" s="25"/>
    </x:row>
    <x:row r="32">
      <x:c r="A32" s="25"/>
      <x:c r="B32" s="25"/>
      <x:c r="C32" s="25"/>
      <x:c r="D32" s="25"/>
      <x:c r="E32" s="25"/>
      <x:c r="F32" s="25"/>
      <x:c r="G32" s="25"/>
      <x:c r="H32" s="25"/>
      <x:c r="I32" s="25"/>
      <x:c r="J32" s="25"/>
      <x:c r="K32" s="25"/>
      <x:c r="L32" s="25"/>
      <x:c r="M32" s="25"/>
      <x:c r="N32" s="25"/>
    </x:row>
    <x:row r="33">
      <x:c r="A33" s="25"/>
      <x:c r="B33" s="25"/>
      <x:c r="C33" s="25"/>
      <x:c r="D33" s="25"/>
      <x:c r="E33" s="25"/>
      <x:c r="F33" s="25"/>
      <x:c r="G33" s="25"/>
      <x:c r="H33" s="25"/>
      <x:c r="I33" s="25"/>
      <x:c r="J33" s="25"/>
      <x:c r="K33" s="25"/>
      <x:c r="L33" s="25"/>
      <x:c r="M33" s="25"/>
      <x:c r="N33" s="25"/>
    </x:row>
    <x:row r="34">
      <x:c r="A34" s="25"/>
      <x:c r="B34" s="25"/>
      <x:c r="C34" s="25"/>
      <x:c r="D34" s="25"/>
      <x:c r="E34" s="25"/>
      <x:c r="F34" s="25"/>
      <x:c r="G34" s="25"/>
      <x:c r="H34" s="25"/>
      <x:c r="I34" s="25"/>
      <x:c r="J34" s="25"/>
      <x:c r="K34" s="25"/>
      <x:c r="L34" s="25"/>
      <x:c r="M34" s="25"/>
      <x:c r="N34" s="25"/>
    </x:row>
    <x:row r="35">
      <x:c r="A35" s="25"/>
      <x:c r="B35" s="25"/>
      <x:c r="C35" s="25"/>
      <x:c r="D35" s="25"/>
      <x:c r="E35" s="25"/>
      <x:c r="F35" s="25"/>
      <x:c r="G35" s="25"/>
      <x:c r="H35" s="25"/>
      <x:c r="I35" s="25"/>
      <x:c r="J35" s="25"/>
      <x:c r="K35" s="25"/>
      <x:c r="L35" s="25"/>
      <x:c r="M35" s="25"/>
      <x:c r="N35" s="25"/>
    </x:row>
    <x:row r="36">
      <x:c r="A36" s="25"/>
      <x:c r="B36" s="25"/>
      <x:c r="C36" s="25"/>
      <x:c r="D36" s="25"/>
      <x:c r="E36" s="25"/>
      <x:c r="F36" s="25"/>
      <x:c r="G36" s="25"/>
      <x:c r="H36" s="25"/>
      <x:c r="I36" s="25"/>
      <x:c r="J36" s="25"/>
      <x:c r="K36" s="25"/>
      <x:c r="L36" s="25"/>
      <x:c r="M36" s="25"/>
      <x:c r="N36" s="25"/>
    </x:row>
    <x:row r="37">
      <x:c r="A37" s="25"/>
      <x:c r="B37" s="25"/>
      <x:c r="C37" s="25"/>
      <x:c r="D37" s="25"/>
      <x:c r="E37" s="25"/>
      <x:c r="F37" s="25"/>
      <x:c r="G37" s="25"/>
      <x:c r="H37" s="25"/>
      <x:c r="I37" s="25"/>
      <x:c r="J37" s="25"/>
      <x:c r="K37" s="25"/>
      <x:c r="L37" s="25"/>
      <x:c r="M37" s="25"/>
      <x:c r="N37" s="25"/>
    </x:row>
    <x:row r="38">
      <x:c r="A38" s="25"/>
      <x:c r="B38" s="25"/>
      <x:c r="C38" s="25"/>
      <x:c r="D38" s="25"/>
      <x:c r="E38" s="25"/>
      <x:c r="F38" s="25"/>
      <x:c r="G38" s="25"/>
      <x:c r="H38" s="25"/>
      <x:c r="I38" s="25"/>
      <x:c r="J38" s="25"/>
      <x:c r="K38" s="25"/>
      <x:c r="L38" s="25"/>
      <x:c r="M38" s="25"/>
      <x:c r="N38" s="25"/>
    </x:row>
    <x:row r="39">
      <x:c r="A39" s="25"/>
      <x:c r="B39" s="25"/>
      <x:c r="C39" s="25"/>
      <x:c r="D39" s="25"/>
      <x:c r="E39" s="25"/>
      <x:c r="F39" s="25"/>
      <x:c r="G39" s="25"/>
      <x:c r="H39" s="25"/>
      <x:c r="I39" s="25"/>
      <x:c r="J39" s="25"/>
      <x:c r="K39" s="25"/>
      <x:c r="L39" s="25"/>
      <x:c r="M39" s="25"/>
      <x:c r="N39" s="25"/>
    </x:row>
    <x:row r="40">
      <x:c r="A40" s="25"/>
      <x:c r="B40" s="25"/>
      <x:c r="C40" s="25"/>
      <x:c r="D40" s="25"/>
      <x:c r="E40" s="25"/>
      <x:c r="F40" s="25"/>
      <x:c r="G40" s="25"/>
      <x:c r="H40" s="25"/>
      <x:c r="I40" s="25"/>
      <x:c r="J40" s="25"/>
      <x:c r="K40" s="25"/>
      <x:c r="L40" s="25"/>
      <x:c r="M40" s="25"/>
      <x:c r="N40" s="25"/>
    </x:row>
  </x:sheetData>
  <x:mergeCells>
    <x:mergeCell ref="A1:H1"/>
    <x:mergeCell ref="J2:N2"/>
    <x:mergeCell ref="J3:N8"/>
  </x:mergeCells>
  <x:pageMargins left="0.7" right="0.7" top="0.75" bottom="0.75" header="0.3" footer="0.3"/>
  <x:drawing xmlns:r="http://schemas.openxmlformats.org/officeDocument/2006/relationships" r:id="Raaef16bb3155453f"/>
</x:worksheet>
</file>

<file path=xl/worksheets/sheet4.xml><?xml version="1.0" encoding="utf-8"?>
<x:worksheet xmlns:x="http://schemas.openxmlformats.org/spreadsheetml/2006/main">
  <x:sheetFormatPr defaultRowHeight="15"/>
  <x:cols>
    <x:col min="1" max="1" width="12" hidden="0" customWidth="1"/>
    <x:col min="2" max="2" width="16" hidden="0" customWidth="1"/>
    <x:col min="3" max="3" width="16" hidden="0" customWidth="1"/>
    <x:col min="4" max="4" width="16" hidden="0" customWidth="1"/>
    <x:col min="5" max="5" width="16"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8" hidden="0" customWidth="1"/>
  </x:cols>
  <x:sheetData>
    <x:row r="1">
      <x:c r="A1" s="71" t="str">
        <x:v>Promotion Event Evaluator — Selected High-Spend Events</x:v>
      </x:c>
      <x:c r="B1" s="71"/>
      <x:c r="C1" s="71"/>
      <x:c r="D1" s="71"/>
      <x:c r="E1" s="71"/>
      <x:c r="F1" s="71"/>
      <x:c r="G1" s="71"/>
      <x:c r="H1" s="71"/>
      <x:c r="I1" s="71"/>
      <x:c r="J1" s="71"/>
      <x:c r="K1" s="71"/>
      <x:c r="L1" s="71"/>
      <x:c r="M1" s="25"/>
      <x:c r="N1" s="25"/>
    </x:row>
    <x:row r="2">
      <x:c r="A2" s="25"/>
      <x:c r="B2" s="25"/>
      <x:c r="C2" s="25"/>
      <x:c r="D2" s="25"/>
      <x:c r="E2" s="25"/>
      <x:c r="F2" s="25"/>
      <x:c r="G2" s="25"/>
      <x:c r="H2" s="25"/>
      <x:c r="I2" s="25"/>
      <x:c r="J2" s="25"/>
      <x:c r="K2" s="25"/>
      <x:c r="L2" s="25"/>
      <x:c r="M2" s="25"/>
      <x:c r="N2" s="25"/>
    </x:row>
    <x:row r="3">
      <x:c r="A3" s="58" t="str">
        <x:v>Week</x:v>
      </x:c>
      <x:c r="B3" s="58" t="str">
        <x:v>Customer</x:v>
      </x:c>
      <x:c r="C3" s="58" t="str">
        <x:v>Channel</x:v>
      </x:c>
      <x:c r="D3" s="58" t="str">
        <x:v>SKU</x:v>
      </x:c>
      <x:c r="E3" s="58" t="str">
        <x:v>Promotion</x:v>
      </x:c>
      <x:c r="F3" s="58" t="str">
        <x:v>Baseline Units</x:v>
      </x:c>
      <x:c r="G3" s="58" t="str">
        <x:v>Actual Units</x:v>
      </x:c>
      <x:c r="H3" s="58" t="str">
        <x:v>Lift %</x:v>
      </x:c>
      <x:c r="I3" s="58" t="str">
        <x:v>Trade Spend ($)</x:v>
      </x:c>
      <x:c r="J3" s="58" t="str">
        <x:v>Incremental GP ($)</x:v>
      </x:c>
      <x:c r="K3" s="58" t="str">
        <x:v>ROTI</x:v>
      </x:c>
      <x:c r="L3" s="58" t="str">
        <x:v>Decision</x:v>
      </x:c>
      <x:c r="M3" s="25"/>
      <x:c r="N3" s="25"/>
    </x:row>
    <x:row r="4">
      <x:c r="A4" s="25" t="str">
        <x:v>2026-08-10</x:v>
      </x:c>
      <x:c r="B4" s="25" t="str">
        <x:v>Customer C</x:v>
      </x:c>
      <x:c r="C4" s="25" t="str">
        <x:v>Mass</x:v>
      </x:c>
      <x:c r="D4" s="25" t="str">
        <x:v>EN-CITRUS-12</x:v>
      </x:c>
      <x:c r="E4" s="25" t="str">
        <x:v>Deep Discount</x:v>
      </x:c>
      <x:c r="F4" s="25" t="n">
        <x:v>277</x:v>
      </x:c>
      <x:c r="G4" s="25" t="n">
        <x:v>618</x:v>
      </x:c>
      <x:c r="H4" s="60" t="n">
        <x:v>1.2310469314079424</x:v>
      </x:c>
      <x:c r="I4" s="91" t="n">
        <x:v>1954.81</x:v>
      </x:c>
      <x:c r="J4" s="91" t="n">
        <x:v>269.65999999999997</x:v>
      </x:c>
      <x:c r="K4" s="92" t="n">
        <x:v>0.13794691044142396</x:v>
      </x:c>
      <x:c r="L4" s="25" t="str">
        <x:v>Value-destructive</x:v>
      </x:c>
      <x:c r="M4" s="25"/>
      <x:c r="N4" s="25"/>
    </x:row>
    <x:row r="5">
      <x:c r="A5" s="25" t="str">
        <x:v>2026-08-03</x:v>
      </x:c>
      <x:c r="B5" s="25" t="str">
        <x:v>Customer A</x:v>
      </x:c>
      <x:c r="C5" s="25" t="str">
        <x:v>Grocery</x:v>
      </x:c>
      <x:c r="D5" s="25" t="str">
        <x:v>EN-CITRUS-12</x:v>
      </x:c>
      <x:c r="E5" s="25" t="str">
        <x:v>Deep Discount</x:v>
      </x:c>
      <x:c r="F5" s="25" t="n">
        <x:v>234</x:v>
      </x:c>
      <x:c r="G5" s="25" t="n">
        <x:v>549</x:v>
      </x:c>
      <x:c r="H5" s="60" t="n">
        <x:v>1.346153846153846</x:v>
      </x:c>
      <x:c r="I5" s="91" t="n">
        <x:v>1836.45</x:v>
      </x:c>
      <x:c r="J5" s="91" t="n">
        <x:v>386.49</x:v>
      </x:c>
      <x:c r="K5" s="92" t="n">
        <x:v>0.21045495385118027</x:v>
      </x:c>
      <x:c r="L5" s="25" t="str">
        <x:v>Value-destructive</x:v>
      </x:c>
      <x:c r="M5" s="25"/>
      <x:c r="N5" s="25"/>
    </x:row>
    <x:row r="6">
      <x:c r="A6" s="25" t="str">
        <x:v>2026-08-03</x:v>
      </x:c>
      <x:c r="B6" s="25" t="str">
        <x:v>Customer C</x:v>
      </x:c>
      <x:c r="C6" s="25" t="str">
        <x:v>Mass</x:v>
      </x:c>
      <x:c r="D6" s="25" t="str">
        <x:v>EN-CITRUS-12</x:v>
      </x:c>
      <x:c r="E6" s="25" t="str">
        <x:v>Deep Discount</x:v>
      </x:c>
      <x:c r="F6" s="25" t="n">
        <x:v>232</x:v>
      </x:c>
      <x:c r="G6" s="25" t="n">
        <x:v>537</x:v>
      </x:c>
      <x:c r="H6" s="60" t="n">
        <x:v>1.314655172413793</x:v>
      </x:c>
      <x:c r="I6" s="91" t="n">
        <x:v>1766.25</x:v>
      </x:c>
      <x:c r="J6" s="91" t="n">
        <x:v>294.19</x:v>
      </x:c>
      <x:c r="K6" s="92" t="n">
        <x:v>0.16656192498230715</x:v>
      </x:c>
      <x:c r="L6" s="25" t="str">
        <x:v>Value-destructive</x:v>
      </x:c>
      <x:c r="M6" s="25"/>
      <x:c r="N6" s="25"/>
    </x:row>
    <x:row r="7">
      <x:c r="A7" s="25" t="str">
        <x:v>2026-09-21</x:v>
      </x:c>
      <x:c r="B7" s="25" t="str">
        <x:v>Customer I</x:v>
      </x:c>
      <x:c r="C7" s="25" t="str">
        <x:v>Grocery</x:v>
      </x:c>
      <x:c r="D7" s="25" t="str">
        <x:v>EN-CITRUS-12</x:v>
      </x:c>
      <x:c r="E7" s="25" t="str">
        <x:v>Deep Discount</x:v>
      </x:c>
      <x:c r="F7" s="25" t="n">
        <x:v>173</x:v>
      </x:c>
      <x:c r="G7" s="25" t="n">
        <x:v>409</x:v>
      </x:c>
      <x:c r="H7" s="60" t="n">
        <x:v>1.3641618497109826</x:v>
      </x:c>
      <x:c r="I7" s="91" t="n">
        <x:v>1716.65</x:v>
      </x:c>
      <x:c r="J7" s="91" t="n">
        <x:v>352.12</x:v>
      </x:c>
      <x:c r="K7" s="92" t="n">
        <x:v>0.20512043806250546</x:v>
      </x:c>
      <x:c r="L7" s="25" t="str">
        <x:v>Value-destructive</x:v>
      </x:c>
      <x:c r="M7" s="25"/>
      <x:c r="N7" s="25"/>
    </x:row>
    <x:row r="8">
      <x:c r="A8" s="25" t="str">
        <x:v>2026-08-10</x:v>
      </x:c>
      <x:c r="B8" s="25" t="str">
        <x:v>Customer I</x:v>
      </x:c>
      <x:c r="C8" s="25" t="str">
        <x:v>Grocery</x:v>
      </x:c>
      <x:c r="D8" s="25" t="str">
        <x:v>EN-CITRUS-12</x:v>
      </x:c>
      <x:c r="E8" s="25" t="str">
        <x:v>Deep Discount</x:v>
      </x:c>
      <x:c r="F8" s="25" t="n">
        <x:v>174</x:v>
      </x:c>
      <x:c r="G8" s="25" t="n">
        <x:v>443</x:v>
      </x:c>
      <x:c r="H8" s="60" t="n">
        <x:v>1.5459770114942528</x:v>
      </x:c>
      <x:c r="I8" s="91" t="n">
        <x:v>1606.75</x:v>
      </x:c>
      <x:c r="J8" s="91" t="n">
        <x:v>596.14</x:v>
      </x:c>
      <x:c r="K8" s="92" t="n">
        <x:v>0.3710222498833048</x:v>
      </x:c>
      <x:c r="L8" s="25" t="str">
        <x:v>Value-destructive</x:v>
      </x:c>
      <x:c r="M8" s="25"/>
      <x:c r="N8" s="25"/>
    </x:row>
    <x:row r="9">
      <x:c r="A9" s="25" t="str">
        <x:v>2026-07-27</x:v>
      </x:c>
      <x:c r="B9" s="25" t="str">
        <x:v>Customer D</x:v>
      </x:c>
      <x:c r="C9" s="25" t="str">
        <x:v>Mass</x:v>
      </x:c>
      <x:c r="D9" s="25" t="str">
        <x:v>EN-CITRUS-12</x:v>
      </x:c>
      <x:c r="E9" s="25" t="str">
        <x:v>Deep Discount</x:v>
      </x:c>
      <x:c r="F9" s="25" t="n">
        <x:v>190</x:v>
      </x:c>
      <x:c r="G9" s="25" t="n">
        <x:v>399</x:v>
      </x:c>
      <x:c r="H9" s="60" t="n">
        <x:v>1.1</x:v>
      </x:c>
      <x:c r="I9" s="91" t="n">
        <x:v>1602.15</x:v>
      </x:c>
      <x:c r="J9" s="91" t="n">
        <x:v>16.36</x:v>
      </x:c>
      <x:c r="K9" s="92" t="n">
        <x:v>0.010211278594388789</x:v>
      </x:c>
      <x:c r="L9" s="25" t="str">
        <x:v>Value-destructive</x:v>
      </x:c>
      <x:c r="M9" s="25"/>
      <x:c r="N9" s="25"/>
    </x:row>
    <x:row r="10">
      <x:c r="A10" s="25" t="str">
        <x:v>2026-08-17</x:v>
      </x:c>
      <x:c r="B10" s="25" t="str">
        <x:v>Customer A</x:v>
      </x:c>
      <x:c r="C10" s="25" t="str">
        <x:v>Grocery</x:v>
      </x:c>
      <x:c r="D10" s="25" t="str">
        <x:v>EN-CITRUS-12</x:v>
      </x:c>
      <x:c r="E10" s="25" t="str">
        <x:v>Deep Discount</x:v>
      </x:c>
      <x:c r="F10" s="25" t="n">
        <x:v>200</x:v>
      </x:c>
      <x:c r="G10" s="25" t="n">
        <x:v>465</x:v>
      </x:c>
      <x:c r="H10" s="60" t="n">
        <x:v>1.3250000000000002</x:v>
      </x:c>
      <x:c r="I10" s="91" t="n">
        <x:v>1585.05</x:v>
      </x:c>
      <x:c r="J10" s="91" t="n">
        <x:v>299.15</x:v>
      </x:c>
      <x:c r="K10" s="92" t="n">
        <x:v>0.18873221664931705</x:v>
      </x:c>
      <x:c r="L10" s="25" t="str">
        <x:v>Value-destructive</x:v>
      </x:c>
      <x:c r="M10" s="25"/>
      <x:c r="N10" s="25"/>
    </x:row>
    <x:row r="11">
      <x:c r="A11" s="25" t="str">
        <x:v>2026-08-24</x:v>
      </x:c>
      <x:c r="B11" s="25" t="str">
        <x:v>Customer A</x:v>
      </x:c>
      <x:c r="C11" s="25" t="str">
        <x:v>Grocery</x:v>
      </x:c>
      <x:c r="D11" s="25" t="str">
        <x:v>EN-CITRUS-12</x:v>
      </x:c>
      <x:c r="E11" s="25" t="str">
        <x:v>Deep Discount</x:v>
      </x:c>
      <x:c r="F11" s="25" t="n">
        <x:v>192</x:v>
      </x:c>
      <x:c r="G11" s="25" t="n">
        <x:v>464</x:v>
      </x:c>
      <x:c r="H11" s="60" t="n">
        <x:v>1.4166666666666665</x:v>
      </x:c>
      <x:c r="I11" s="91" t="n">
        <x:v>1535.1999999999998</x:v>
      </x:c>
      <x:c r="J11" s="91" t="n">
        <x:v>416.88</x:v>
      </x:c>
      <x:c r="K11" s="92" t="n">
        <x:v>0.2715476810838979</x:v>
      </x:c>
      <x:c r="L11" s="25" t="str">
        <x:v>Value-destructive</x:v>
      </x:c>
      <x:c r="M11" s="25"/>
      <x:c r="N11" s="25"/>
    </x:row>
    <x:row r="12">
      <x:c r="A12" s="25" t="str">
        <x:v>2026-07-20</x:v>
      </x:c>
      <x:c r="B12" s="25" t="str">
        <x:v>Customer C</x:v>
      </x:c>
      <x:c r="C12" s="25" t="str">
        <x:v>Mass</x:v>
      </x:c>
      <x:c r="D12" s="25" t="str">
        <x:v>EN-CITRUS-12</x:v>
      </x:c>
      <x:c r="E12" s="25" t="str">
        <x:v>Deep Discount</x:v>
      </x:c>
      <x:c r="F12" s="25" t="n">
        <x:v>186</x:v>
      </x:c>
      <x:c r="G12" s="25" t="n">
        <x:v>449</x:v>
      </x:c>
      <x:c r="H12" s="60" t="n">
        <x:v>1.413978494623656</x:v>
      </x:c>
      <x:c r="I12" s="91" t="n">
        <x:v>1425.85</x:v>
      </x:c>
      <x:c r="J12" s="91" t="n">
        <x:v>368.68</x:v>
      </x:c>
      <x:c r="K12" s="92" t="n">
        <x:v>0.25856857313181614</x:v>
      </x:c>
      <x:c r="L12" s="25" t="str">
        <x:v>Value-destructive</x:v>
      </x:c>
      <x:c r="M12" s="25"/>
      <x:c r="N12" s="25"/>
    </x:row>
    <x:row r="13">
      <x:c r="A13" s="25" t="str">
        <x:v>2026-08-31</x:v>
      </x:c>
      <x:c r="B13" s="25" t="str">
        <x:v>Customer C</x:v>
      </x:c>
      <x:c r="C13" s="25" t="str">
        <x:v>Mass</x:v>
      </x:c>
      <x:c r="D13" s="25" t="str">
        <x:v>EN-CITRUS-12</x:v>
      </x:c>
      <x:c r="E13" s="25" t="str">
        <x:v>Deep Discount</x:v>
      </x:c>
      <x:c r="F13" s="25" t="n">
        <x:v>186</x:v>
      </x:c>
      <x:c r="G13" s="25" t="n">
        <x:v>420</x:v>
      </x:c>
      <x:c r="H13" s="60" t="n">
        <x:v>1.2580645161290325</x:v>
      </x:c>
      <x:c r="I13" s="91" t="n">
        <x:v>1425</x:v>
      </x:c>
      <x:c r="J13" s="91" t="n">
        <x:v>160.2</x:v>
      </x:c>
      <x:c r="K13" s="92" t="n">
        <x:v>0.11242105263157894</x:v>
      </x:c>
      <x:c r="L13" s="25" t="str">
        <x:v>Value-destructive</x:v>
      </x:c>
      <x:c r="M13" s="25"/>
      <x:c r="N13" s="25"/>
    </x:row>
    <x:row r="14">
      <x:c r="A14" s="25" t="str">
        <x:v>2026-09-21</x:v>
      </x:c>
      <x:c r="B14" s="25" t="str">
        <x:v>Customer B</x:v>
      </x:c>
      <x:c r="C14" s="25" t="str">
        <x:v>Grocery</x:v>
      </x:c>
      <x:c r="D14" s="25" t="str">
        <x:v>EN-CITRUS-12</x:v>
      </x:c>
      <x:c r="E14" s="25" t="str">
        <x:v>Deep Discount</x:v>
      </x:c>
      <x:c r="F14" s="25" t="n">
        <x:v>160</x:v>
      </x:c>
      <x:c r="G14" s="25" t="n">
        <x:v>370</x:v>
      </x:c>
      <x:c r="H14" s="60" t="n">
        <x:v>1.3125</x:v>
      </x:c>
      <x:c r="I14" s="91" t="n">
        <x:v>1409.3</x:v>
      </x:c>
      <x:c r="J14" s="91" t="n">
        <x:v>204.18</x:v>
      </x:c>
      <x:c r="K14" s="92" t="n">
        <x:v>0.14488043709643086</x:v>
      </x:c>
      <x:c r="L14" s="25" t="str">
        <x:v>Value-destructive</x:v>
      </x:c>
      <x:c r="M14" s="25"/>
      <x:c r="N14" s="25"/>
    </x:row>
    <x:row r="15">
      <x:c r="A15" s="25" t="str">
        <x:v>2026-08-24</x:v>
      </x:c>
      <x:c r="B15" s="25" t="str">
        <x:v>Customer C</x:v>
      </x:c>
      <x:c r="C15" s="25" t="str">
        <x:v>Mass</x:v>
      </x:c>
      <x:c r="D15" s="25" t="str">
        <x:v>EN-CITRUS-12</x:v>
      </x:c>
      <x:c r="E15" s="25" t="str">
        <x:v>Deep Discount</x:v>
      </x:c>
      <x:c r="F15" s="25" t="n">
        <x:v>180</x:v>
      </x:c>
      <x:c r="G15" s="25" t="n">
        <x:v>423</x:v>
      </x:c>
      <x:c r="H15" s="60" t="n">
        <x:v>1.35</x:v>
      </x:c>
      <x:c r="I15" s="91" t="n">
        <x:v>1382.55</x:v>
      </x:c>
      <x:c r="J15" s="91" t="n">
        <x:v>274</x:v>
      </x:c>
      <x:c r="K15" s="92" t="n">
        <x:v>0.19818451412245489</x:v>
      </x:c>
      <x:c r="L15" s="25" t="str">
        <x:v>Value-destructive</x:v>
      </x:c>
      <x:c r="M15" s="25"/>
      <x:c r="N15" s="25"/>
    </x:row>
    <x:row r="16">
      <x:c r="A16" s="25" t="str">
        <x:v>2026-07-27</x:v>
      </x:c>
      <x:c r="B16" s="25" t="str">
        <x:v>Customer B</x:v>
      </x:c>
      <x:c r="C16" s="25" t="str">
        <x:v>Grocery</x:v>
      </x:c>
      <x:c r="D16" s="25" t="str">
        <x:v>EN-CITRUS-12</x:v>
      </x:c>
      <x:c r="E16" s="25" t="str">
        <x:v>Deep Discount</x:v>
      </x:c>
      <x:c r="F16" s="25" t="n">
        <x:v>161</x:v>
      </x:c>
      <x:c r="G16" s="25" t="n">
        <x:v>373</x:v>
      </x:c>
      <x:c r="H16" s="60" t="n">
        <x:v>1.3167701863354033</x:v>
      </x:c>
      <x:c r="I16" s="91" t="n">
        <x:v>1338.0500000000002</x:v>
      </x:c>
      <x:c r="J16" s="91" t="n">
        <x:v>210.42</x:v>
      </x:c>
      <x:c r="K16" s="92" t="n">
        <x:v>0.1572586973580957</x:v>
      </x:c>
      <x:c r="L16" s="25" t="str">
        <x:v>Value-destructive</x:v>
      </x:c>
      <x:c r="M16" s="25"/>
      <x:c r="N16" s="25"/>
    </x:row>
    <x:row r="17">
      <x:c r="A17" s="25" t="str">
        <x:v>2026-07-20</x:v>
      </x:c>
      <x:c r="B17" s="25" t="str">
        <x:v>Customer I</x:v>
      </x:c>
      <x:c r="C17" s="25" t="str">
        <x:v>Grocery</x:v>
      </x:c>
      <x:c r="D17" s="25" t="str">
        <x:v>EN-CITRUS-12</x:v>
      </x:c>
      <x:c r="E17" s="25" t="str">
        <x:v>Deep Discount</x:v>
      </x:c>
      <x:c r="F17" s="25" t="n">
        <x:v>169</x:v>
      </x:c>
      <x:c r="G17" s="25" t="n">
        <x:v>381</x:v>
      </x:c>
      <x:c r="H17" s="60" t="n">
        <x:v>1.2544378698224854</x:v>
      </x:c>
      <x:c r="I17" s="91" t="n">
        <x:v>1306.87</x:v>
      </x:c>
      <x:c r="J17" s="91" t="n">
        <x:v>271.42</x:v>
      </x:c>
      <x:c r="K17" s="92" t="n">
        <x:v>0.20768706910404253</x:v>
      </x:c>
      <x:c r="L17" s="25" t="str">
        <x:v>Value-destructive</x:v>
      </x:c>
      <x:c r="M17" s="25"/>
      <x:c r="N17" s="25"/>
    </x:row>
    <x:row r="18">
      <x:c r="A18" s="25" t="str">
        <x:v>2026-08-17</x:v>
      </x:c>
      <x:c r="B18" s="25" t="str">
        <x:v>Customer D</x:v>
      </x:c>
      <x:c r="C18" s="25" t="str">
        <x:v>Mass</x:v>
      </x:c>
      <x:c r="D18" s="25" t="str">
        <x:v>EN-CITRUS-12</x:v>
      </x:c>
      <x:c r="E18" s="25" t="str">
        <x:v>Deep Discount</x:v>
      </x:c>
      <x:c r="F18" s="25" t="n">
        <x:v>164</x:v>
      </x:c>
      <x:c r="G18" s="25" t="n">
        <x:v>337</x:v>
      </x:c>
      <x:c r="H18" s="60" t="n">
        <x:v>1.0548780487804876</x:v>
      </x:c>
      <x:c r="I18" s="91" t="n">
        <x:v>1300.25</x:v>
      </x:c>
      <x:c r="J18" s="91" t="n">
        <x:v>-43.31999999999999</x:v>
      </x:c>
      <x:c r="K18" s="92" t="n">
        <x:v>-0.033316669871178616</x:v>
      </x:c>
      <x:c r="L18" s="25" t="str">
        <x:v>Value-destructive</x:v>
      </x:c>
      <x:c r="M18" s="25"/>
      <x:c r="N18" s="25"/>
    </x:row>
    <x:row r="19">
      <x:c r="A19" s="25" t="str">
        <x:v>2026-08-03</x:v>
      </x:c>
      <x:c r="B19" s="25" t="str">
        <x:v>Customer C</x:v>
      </x:c>
      <x:c r="C19" s="25" t="str">
        <x:v>Mass</x:v>
      </x:c>
      <x:c r="D19" s="25" t="str">
        <x:v>EN-TROPIC-12</x:v>
      </x:c>
      <x:c r="E19" s="25" t="str">
        <x:v>Feature + Display</x:v>
      </x:c>
      <x:c r="F19" s="25" t="n">
        <x:v>129</x:v>
      </x:c>
      <x:c r="G19" s="25" t="n">
        <x:v>222</x:v>
      </x:c>
      <x:c r="H19" s="60" t="n">
        <x:v>0.7209302325581395</x:v>
      </x:c>
      <x:c r="I19" s="91" t="n">
        <x:v>324.64</x:v>
      </x:c>
      <x:c r="J19" s="91" t="n">
        <x:v>415.24</x:v>
      </x:c>
      <x:c r="K19" s="92" t="n">
        <x:v>1.2790783637259735</x:v>
      </x:c>
      <x:c r="L19" s="25" t="str">
        <x:v>Review</x:v>
      </x:c>
      <x:c r="M19" s="25"/>
      <x:c r="N19" s="25"/>
    </x:row>
    <x:row r="20">
      <x:c r="A20" s="25" t="str">
        <x:v>2026-08-31</x:v>
      </x:c>
      <x:c r="B20" s="25" t="str">
        <x:v>Customer B</x:v>
      </x:c>
      <x:c r="C20" s="25" t="str">
        <x:v>Grocery</x:v>
      </x:c>
      <x:c r="D20" s="25" t="str">
        <x:v>SW-LIME-8</x:v>
      </x:c>
      <x:c r="E20" s="25" t="str">
        <x:v>Feature + Display</x:v>
      </x:c>
      <x:c r="F20" s="25" t="n">
        <x:v>327</x:v>
      </x:c>
      <x:c r="G20" s="25" t="n">
        <x:v>585</x:v>
      </x:c>
      <x:c r="H20" s="60" t="n">
        <x:v>0.7889908256880733</x:v>
      </x:c>
      <x:c r="I20" s="91" t="n">
        <x:v>303.7</x:v>
      </x:c>
      <x:c r="J20" s="91" t="n">
        <x:v>423.88</x:v>
      </x:c>
      <x:c r="K20" s="92" t="n">
        <x:v>1.3957194599934146</x:v>
      </x:c>
      <x:c r="L20" s="25" t="str">
        <x:v>Review</x:v>
      </x:c>
      <x:c r="M20" s="25"/>
      <x:c r="N20" s="25"/>
    </x:row>
    <x:row r="21">
      <x:c r="A21" s="25" t="str">
        <x:v>2026-05-25</x:v>
      </x:c>
      <x:c r="B21" s="25" t="str">
        <x:v>Customer B</x:v>
      </x:c>
      <x:c r="C21" s="25" t="str">
        <x:v>Grocery</x:v>
      </x:c>
      <x:c r="D21" s="25" t="str">
        <x:v>SW-LIME-8</x:v>
      </x:c>
      <x:c r="E21" s="25" t="str">
        <x:v>Feature + Display</x:v>
      </x:c>
      <x:c r="F21" s="25" t="n">
        <x:v>311</x:v>
      </x:c>
      <x:c r="G21" s="25" t="n">
        <x:v>540</x:v>
      </x:c>
      <x:c r="H21" s="60" t="n">
        <x:v>0.7363344051446945</x:v>
      </x:c>
      <x:c r="I21" s="91" t="n">
        <x:v>275.6</x:v>
      </x:c>
      <x:c r="J21" s="91" t="n">
        <x:v>354.74</x:v>
      </x:c>
      <x:c r="K21" s="92" t="n">
        <x:v>1.287155297532656</x:v>
      </x:c>
      <x:c r="L21" s="25" t="str">
        <x:v>Review</x:v>
      </x:c>
      <x:c r="M21" s="25"/>
      <x:c r="N21" s="25"/>
    </x:row>
    <x:row r="22">
      <x:c r="A22" s="25" t="str">
        <x:v>2026-05-18</x:v>
      </x:c>
      <x:c r="B22" s="25" t="str">
        <x:v>Customer C</x:v>
      </x:c>
      <x:c r="C22" s="25" t="str">
        <x:v>Mass</x:v>
      </x:c>
      <x:c r="D22" s="25" t="str">
        <x:v>EN-CITRUS-12</x:v>
      </x:c>
      <x:c r="E22" s="25" t="str">
        <x:v>Deep Discount</x:v>
      </x:c>
      <x:c r="F22" s="25" t="n">
        <x:v>65</x:v>
      </x:c>
      <x:c r="G22" s="25" t="n">
        <x:v>157</x:v>
      </x:c>
      <x:c r="H22" s="60" t="n">
        <x:v>1.4153846153846152</x:v>
      </x:c>
      <x:c r="I22" s="91" t="n">
        <x:v>222.14</x:v>
      </x:c>
      <x:c r="J22" s="91" t="n">
        <x:v>281.55</x:v>
      </x:c>
      <x:c r="K22" s="92" t="n">
        <x:v>1.2674439542630775</x:v>
      </x:c>
      <x:c r="L22" s="25" t="str">
        <x:v>Review</x:v>
      </x:c>
      <x:c r="M22" s="25"/>
      <x:c r="N22" s="25"/>
    </x:row>
    <x:row r="23">
      <x:c r="A23" s="25" t="str">
        <x:v>2026-07-13</x:v>
      </x:c>
      <x:c r="B23" s="25" t="str">
        <x:v>Customer I</x:v>
      </x:c>
      <x:c r="C23" s="25" t="str">
        <x:v>Grocery</x:v>
      </x:c>
      <x:c r="D23" s="25" t="str">
        <x:v>SW-LIME-8</x:v>
      </x:c>
      <x:c r="E23" s="25" t="str">
        <x:v>Feature + Display</x:v>
      </x:c>
      <x:c r="F23" s="25" t="n">
        <x:v>210</x:v>
      </x:c>
      <x:c r="G23" s="25" t="n">
        <x:v>365</x:v>
      </x:c>
      <x:c r="H23" s="60" t="n">
        <x:v>0.7380952380952381</x:v>
      </x:c>
      <x:c r="I23" s="91" t="n">
        <x:v>204.9</x:v>
      </x:c>
      <x:c r="J23" s="91" t="n">
        <x:v>258.35</x:v>
      </x:c>
      <x:c r="K23" s="92" t="n">
        <x:v>1.2608589555880918</x:v>
      </x:c>
      <x:c r="L23" s="25" t="str">
        <x:v>Review</x:v>
      </x:c>
      <x:c r="M23" s="25"/>
      <x:c r="N23" s="25"/>
    </x:row>
    <x:row r="24">
      <x:c r="A24" s="25" t="str">
        <x:v>2026-07-06</x:v>
      </x:c>
      <x:c r="B24" s="25" t="str">
        <x:v>Customer A</x:v>
      </x:c>
      <x:c r="C24" s="25" t="str">
        <x:v>Grocery</x:v>
      </x:c>
      <x:c r="D24" s="25" t="str">
        <x:v>SW-LIME-8</x:v>
      </x:c>
      <x:c r="E24" s="25" t="str">
        <x:v>Feature + Display</x:v>
      </x:c>
      <x:c r="F24" s="25" t="n">
        <x:v>229</x:v>
      </x:c>
      <x:c r="G24" s="25" t="n">
        <x:v>433</x:v>
      </x:c>
      <x:c r="H24" s="60" t="n">
        <x:v>0.8908296943231442</x:v>
      </x:c>
      <x:c r="I24" s="91" t="n">
        <x:v>200.26</x:v>
      </x:c>
      <x:c r="J24" s="91" t="n">
        <x:v>364.29</x:v>
      </x:c>
      <x:c r="K24" s="92" t="n">
        <x:v>1.8190851892539701</x:v>
      </x:c>
      <x:c r="L24" s="25" t="str">
        <x:v>Scale / Protect</x:v>
      </x:c>
      <x:c r="M24" s="25"/>
      <x:c r="N24" s="25"/>
    </x:row>
    <x:row r="25">
      <x:c r="A25" s="25" t="str">
        <x:v>2026-08-10</x:v>
      </x:c>
      <x:c r="B25" s="25" t="str">
        <x:v>Customer A</x:v>
      </x:c>
      <x:c r="C25" s="25" t="str">
        <x:v>Grocery</x:v>
      </x:c>
      <x:c r="D25" s="25" t="str">
        <x:v>SW-LIME-8</x:v>
      </x:c>
      <x:c r="E25" s="25" t="str">
        <x:v>Feature + Display</x:v>
      </x:c>
      <x:c r="F25" s="25" t="n">
        <x:v>230</x:v>
      </x:c>
      <x:c r="G25" s="25" t="n">
        <x:v>390</x:v>
      </x:c>
      <x:c r="H25" s="60" t="n">
        <x:v>0.6956521739130435</x:v>
      </x:c>
      <x:c r="I25" s="91" t="n">
        <x:v>192.2</x:v>
      </x:c>
      <x:c r="J25" s="91" t="n">
        <x:v>247.22000000000003</x:v>
      </x:c>
      <x:c r="K25" s="92" t="n">
        <x:v>1.2862643080124871</x:v>
      </x:c>
      <x:c r="L25" s="25" t="str">
        <x:v>Review</x:v>
      </x:c>
      <x:c r="M25" s="25"/>
      <x:c r="N25" s="25"/>
    </x:row>
    <x:row r="26">
      <x:c r="A26" s="25" t="str">
        <x:v>2026-07-06</x:v>
      </x:c>
      <x:c r="B26" s="25" t="str">
        <x:v>Customer I</x:v>
      </x:c>
      <x:c r="C26" s="25" t="str">
        <x:v>Grocery</x:v>
      </x:c>
      <x:c r="D26" s="25" t="str">
        <x:v>SW-LIME-8</x:v>
      </x:c>
      <x:c r="E26" s="25" t="str">
        <x:v>Feature + Display</x:v>
      </x:c>
      <x:c r="F26" s="25" t="n">
        <x:v>200</x:v>
      </x:c>
      <x:c r="G26" s="25" t="n">
        <x:v>341</x:v>
      </x:c>
      <x:c r="H26" s="60" t="n">
        <x:v>0.705</x:v>
      </x:c>
      <x:c r="I26" s="91" t="n">
        <x:v>185.62</x:v>
      </x:c>
      <x:c r="J26" s="91" t="n">
        <x:v>228.05</x:v>
      </x:c>
      <x:c r="K26" s="92" t="n">
        <x:v>1.2285852817584313</x:v>
      </x:c>
      <x:c r="L26" s="25" t="str">
        <x:v>Review</x:v>
      </x:c>
      <x:c r="M26" s="25"/>
      <x:c r="N26" s="25"/>
    </x:row>
    <x:row r="27">
      <x:c r="A27" s="25" t="str">
        <x:v>2026-05-18</x:v>
      </x:c>
      <x:c r="B27" s="25" t="str">
        <x:v>Customer C</x:v>
      </x:c>
      <x:c r="C27" s="25" t="str">
        <x:v>Mass</x:v>
      </x:c>
      <x:c r="D27" s="25" t="str">
        <x:v>EN-CITRUS-12</x:v>
      </x:c>
      <x:c r="E27" s="25" t="str">
        <x:v>Feature + Display</x:v>
      </x:c>
      <x:c r="F27" s="25" t="n">
        <x:v>71</x:v>
      </x:c>
      <x:c r="G27" s="25" t="n">
        <x:v>125</x:v>
      </x:c>
      <x:c r="H27" s="60" t="n">
        <x:v>0.7605633802816902</x:v>
      </x:c>
      <x:c r="I27" s="91" t="n">
        <x:v>182.5</x:v>
      </x:c>
      <x:c r="J27" s="91" t="n">
        <x:v>249.13</x:v>
      </x:c>
      <x:c r="K27" s="92" t="n">
        <x:v>1.365095890410959</x:v>
      </x:c>
      <x:c r="L27" s="25" t="str">
        <x:v>Review</x:v>
      </x:c>
      <x:c r="M27" s="25"/>
      <x:c r="N27" s="25"/>
    </x:row>
    <x:row r="28">
      <x:c r="A28" s="25" t="str">
        <x:v>2026-07-20</x:v>
      </x:c>
      <x:c r="B28" s="25" t="str">
        <x:v>Customer I</x:v>
      </x:c>
      <x:c r="C28" s="25" t="str">
        <x:v>Grocery</x:v>
      </x:c>
      <x:c r="D28" s="25" t="str">
        <x:v>SW-LIME-8</x:v>
      </x:c>
      <x:c r="E28" s="25" t="str">
        <x:v>Feature + Display</x:v>
      </x:c>
      <x:c r="F28" s="25" t="n">
        <x:v>159</x:v>
      </x:c>
      <x:c r="G28" s="25" t="n">
        <x:v>284</x:v>
      </x:c>
      <x:c r="H28" s="60" t="n">
        <x:v>0.7861635220125787</x:v>
      </x:c>
      <x:c r="I28" s="91" t="n">
        <x:v>167.48</x:v>
      </x:c>
      <x:c r="J28" s="91" t="n">
        <x:v>216.38</x:v>
      </x:c>
      <x:c r="K28" s="92" t="n">
        <x:v>1.2919751612132793</x:v>
      </x:c>
      <x:c r="L28" s="25" t="str">
        <x:v>Review</x:v>
      </x:c>
      <x:c r="M28" s="25"/>
      <x:c r="N28" s="25"/>
    </x:row>
    <x:row r="29">
      <x:c r="A29" s="25"/>
      <x:c r="B29" s="25"/>
      <x:c r="C29" s="25"/>
      <x:c r="D29" s="25"/>
      <x:c r="E29" s="25"/>
      <x:c r="F29" s="25"/>
      <x:c r="G29" s="25"/>
      <x:c r="H29" s="25"/>
      <x:c r="I29" s="25"/>
      <x:c r="J29" s="25"/>
      <x:c r="K29" s="25"/>
      <x:c r="L29" s="25"/>
      <x:c r="M29" s="25"/>
      <x:c r="N29" s="25"/>
    </x:row>
    <x:row r="30">
      <x:c r="A30" s="25"/>
      <x:c r="B30" s="25"/>
      <x:c r="C30" s="25"/>
      <x:c r="D30" s="25"/>
      <x:c r="E30" s="25"/>
      <x:c r="F30" s="25"/>
      <x:c r="G30" s="25"/>
      <x:c r="H30" s="25"/>
      <x:c r="I30" s="25"/>
      <x:c r="J30" s="25"/>
      <x:c r="K30" s="25"/>
      <x:c r="L30" s="25"/>
      <x:c r="M30" s="25"/>
      <x:c r="N30" s="25"/>
    </x:row>
    <x:row r="31">
      <x:c r="A31" s="25"/>
      <x:c r="B31" s="25"/>
      <x:c r="C31" s="25"/>
      <x:c r="D31" s="25"/>
      <x:c r="E31" s="25"/>
      <x:c r="F31" s="25"/>
      <x:c r="G31" s="25"/>
      <x:c r="H31" s="25"/>
      <x:c r="I31" s="25"/>
      <x:c r="J31" s="25"/>
      <x:c r="K31" s="25"/>
      <x:c r="L31" s="25"/>
      <x:c r="M31" s="25"/>
      <x:c r="N31" s="25"/>
    </x:row>
    <x:row r="32">
      <x:c r="A32" s="25"/>
      <x:c r="B32" s="25"/>
      <x:c r="C32" s="25"/>
      <x:c r="D32" s="25"/>
      <x:c r="E32" s="25"/>
      <x:c r="F32" s="25"/>
      <x:c r="G32" s="25"/>
      <x:c r="H32" s="25"/>
      <x:c r="I32" s="25"/>
      <x:c r="J32" s="25"/>
      <x:c r="K32" s="25"/>
      <x:c r="L32" s="25"/>
      <x:c r="M32" s="25"/>
      <x:c r="N32" s="25"/>
    </x:row>
    <x:row r="33">
      <x:c r="A33" s="25"/>
      <x:c r="B33" s="25"/>
      <x:c r="C33" s="25"/>
      <x:c r="D33" s="25"/>
      <x:c r="E33" s="25"/>
      <x:c r="F33" s="25"/>
      <x:c r="G33" s="25"/>
      <x:c r="H33" s="25"/>
      <x:c r="I33" s="25"/>
      <x:c r="J33" s="25"/>
      <x:c r="K33" s="25"/>
      <x:c r="L33" s="25"/>
      <x:c r="M33" s="25"/>
      <x:c r="N33" s="25"/>
    </x:row>
    <x:row r="34">
      <x:c r="A34" s="25"/>
      <x:c r="B34" s="25"/>
      <x:c r="C34" s="25"/>
      <x:c r="D34" s="25"/>
      <x:c r="E34" s="25"/>
      <x:c r="F34" s="25"/>
      <x:c r="G34" s="25"/>
      <x:c r="H34" s="25"/>
      <x:c r="I34" s="25"/>
      <x:c r="J34" s="25"/>
      <x:c r="K34" s="25"/>
      <x:c r="L34" s="25"/>
      <x:c r="M34" s="25"/>
      <x:c r="N34" s="25"/>
    </x:row>
    <x:row r="35">
      <x:c r="A35" s="25"/>
      <x:c r="B35" s="25"/>
      <x:c r="C35" s="25"/>
      <x:c r="D35" s="25"/>
      <x:c r="E35" s="25"/>
      <x:c r="F35" s="25"/>
      <x:c r="G35" s="25"/>
      <x:c r="H35" s="25"/>
      <x:c r="I35" s="25"/>
      <x:c r="J35" s="25"/>
      <x:c r="K35" s="25"/>
      <x:c r="L35" s="25"/>
      <x:c r="M35" s="25"/>
      <x:c r="N35" s="25"/>
    </x:row>
    <x:row r="36">
      <x:c r="A36" s="25"/>
      <x:c r="B36" s="25"/>
      <x:c r="C36" s="25"/>
      <x:c r="D36" s="25"/>
      <x:c r="E36" s="25"/>
      <x:c r="F36" s="25"/>
      <x:c r="G36" s="25"/>
      <x:c r="H36" s="25"/>
      <x:c r="I36" s="25"/>
      <x:c r="J36" s="25"/>
      <x:c r="K36" s="25"/>
      <x:c r="L36" s="25"/>
      <x:c r="M36" s="25"/>
      <x:c r="N36" s="25"/>
    </x:row>
    <x:row r="37">
      <x:c r="A37" s="25"/>
      <x:c r="B37" s="25"/>
      <x:c r="C37" s="25"/>
      <x:c r="D37" s="25"/>
      <x:c r="E37" s="25"/>
      <x:c r="F37" s="25"/>
      <x:c r="G37" s="25"/>
      <x:c r="H37" s="25"/>
      <x:c r="I37" s="25"/>
      <x:c r="J37" s="25"/>
      <x:c r="K37" s="25"/>
      <x:c r="L37" s="25"/>
      <x:c r="M37" s="25"/>
      <x:c r="N37" s="25"/>
    </x:row>
    <x:row r="38">
      <x:c r="A38" s="25"/>
      <x:c r="B38" s="25"/>
      <x:c r="C38" s="25"/>
      <x:c r="D38" s="25"/>
      <x:c r="E38" s="25"/>
      <x:c r="F38" s="25"/>
      <x:c r="G38" s="25"/>
      <x:c r="H38" s="25"/>
      <x:c r="I38" s="25"/>
      <x:c r="J38" s="25"/>
      <x:c r="K38" s="25"/>
      <x:c r="L38" s="25"/>
      <x:c r="M38" s="25"/>
      <x:c r="N38" s="25"/>
    </x:row>
    <x:row r="39">
      <x:c r="A39" s="25"/>
      <x:c r="B39" s="25"/>
      <x:c r="C39" s="25"/>
      <x:c r="D39" s="25"/>
      <x:c r="E39" s="25"/>
      <x:c r="F39" s="25"/>
      <x:c r="G39" s="25"/>
      <x:c r="H39" s="25"/>
      <x:c r="I39" s="25"/>
      <x:c r="J39" s="25"/>
      <x:c r="K39" s="25"/>
      <x:c r="L39" s="25"/>
      <x:c r="M39" s="25"/>
      <x:c r="N39" s="25"/>
    </x:row>
    <x:row r="40">
      <x:c r="A40" s="25"/>
      <x:c r="B40" s="25"/>
      <x:c r="C40" s="25"/>
      <x:c r="D40" s="25"/>
      <x:c r="E40" s="25"/>
      <x:c r="F40" s="25"/>
      <x:c r="G40" s="25"/>
      <x:c r="H40" s="25"/>
      <x:c r="I40" s="25"/>
      <x:c r="J40" s="25"/>
      <x:c r="K40" s="25"/>
      <x:c r="L40" s="25"/>
      <x:c r="M40" s="25"/>
      <x:c r="N40" s="25"/>
    </x:row>
  </x:sheetData>
  <x:mergeCells>
    <x:mergeCell ref="A1:L1"/>
  </x:mergeCells>
  <x:conditionalFormatting sqref="K4:K28">
    <x:cfRule type="colorScale" priority="1">
      <x:colorScale>
        <x:cfvo type="min"/>
        <x:cfvo type="percentile" val="50"/>
        <x:cfvo type="max"/>
        <x:color rgb="FFFECACA"/>
        <x:color rgb="FFFEF3C7"/>
        <x:color rgb="FFDCFCE7"/>
      </x:colorScale>
    </x:cfRule>
  </x:conditionalFormatting>
  <x:pageMargins left="0.7" right="0.7" top="0.75" bottom="0.75" header="0.3" footer="0.3"/>
</x:worksheet>
</file>